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ssociationfb2.sharepoint.com/sites/fb2/Shared Documents/7 AMI 2024/4_Accompagnement/22 Kergrist-Moelou Ecole/3_Subventions/"/>
    </mc:Choice>
  </mc:AlternateContent>
  <xr:revisionPtr revIDLastSave="2446" documentId="8_{3B2B8076-028C-4C54-9815-47CF1176568C}" xr6:coauthVersionLast="47" xr6:coauthVersionMax="47" xr10:uidLastSave="{69946CA7-D0ED-4C1D-B141-C57069258315}"/>
  <bookViews>
    <workbookView xWindow="-108" yWindow="-108" windowWidth="23256" windowHeight="12456" activeTab="3" xr2:uid="{C5CA7C0E-3E2B-4FC0-9E78-CD3132FD072E}"/>
  </bookViews>
  <sheets>
    <sheet name="CHIFFRAGE PROJET" sheetId="9" r:id="rId1"/>
    <sheet name="Resume (2)" sheetId="8" state="hidden" r:id="rId2"/>
    <sheet name="Resume" sheetId="4" state="hidden" r:id="rId3"/>
    <sheet name="Chiffrage" sheetId="6" r:id="rId4"/>
    <sheet name="Feuil3" sheetId="10" r:id="rId5"/>
    <sheet name="Feuil1 (4)" sheetId="5" state="hidden" r:id="rId6"/>
    <sheet name="Feuil1" sheetId="1" state="hidden" r:id="rId7"/>
    <sheet name="Feuil1 (2)" sheetId="3" state="hidden" r:id="rId8"/>
    <sheet name="Feuil2" sheetId="2"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6" l="1"/>
  <c r="D46" i="6"/>
  <c r="E18" i="10"/>
  <c r="B18" i="10"/>
  <c r="C18" i="10" s="1"/>
  <c r="D18" i="10"/>
  <c r="D17" i="10"/>
  <c r="D16" i="10"/>
  <c r="D10" i="10"/>
  <c r="B10" i="10"/>
  <c r="C2" i="9"/>
  <c r="C3" i="9"/>
  <c r="C6" i="9"/>
  <c r="C9" i="9"/>
  <c r="C10" i="9"/>
  <c r="C34" i="9"/>
  <c r="C11" i="9"/>
  <c r="C15" i="9"/>
  <c r="D28" i="9"/>
  <c r="C38" i="9"/>
  <c r="C30" i="9"/>
  <c r="C7" i="9"/>
  <c r="C8" i="9" s="1"/>
  <c r="C6" i="8"/>
  <c r="C2" i="8" s="1"/>
  <c r="C3" i="8" s="1"/>
  <c r="C51" i="8"/>
  <c r="C49" i="8"/>
  <c r="C46" i="8"/>
  <c r="C45" i="8"/>
  <c r="C44" i="8"/>
  <c r="C36" i="8"/>
  <c r="C34" i="8"/>
  <c r="C28" i="8"/>
  <c r="C24" i="8"/>
  <c r="C22" i="8" s="1"/>
  <c r="C10" i="8"/>
  <c r="C7" i="8"/>
  <c r="C8" i="8" s="1"/>
  <c r="D3" i="4"/>
  <c r="C40" i="4"/>
  <c r="D2" i="4"/>
  <c r="C49" i="4"/>
  <c r="C45" i="4"/>
  <c r="C44" i="4"/>
  <c r="C27" i="9" l="1"/>
  <c r="C25" i="9" s="1"/>
  <c r="C40" i="8"/>
  <c r="D3" i="8"/>
  <c r="D2" i="8"/>
  <c r="C46" i="4"/>
  <c r="C51" i="4"/>
  <c r="C34" i="4"/>
  <c r="C10" i="4"/>
  <c r="C6" i="4" s="1"/>
  <c r="A91" i="6"/>
  <c r="A90" i="6"/>
  <c r="A89" i="6"/>
  <c r="C66" i="6"/>
  <c r="D62" i="6"/>
  <c r="C62" i="6"/>
  <c r="C61" i="6"/>
  <c r="D60" i="6"/>
  <c r="D72" i="6" s="1"/>
  <c r="E4" i="6" s="1"/>
  <c r="C60" i="6"/>
  <c r="C72" i="6" s="1"/>
  <c r="E3" i="6" s="1"/>
  <c r="C53" i="6"/>
  <c r="C38" i="6"/>
  <c r="C46" i="6" s="1"/>
  <c r="G32" i="6"/>
  <c r="F32" i="6"/>
  <c r="I5" i="6" s="1"/>
  <c r="J5" i="6" s="1"/>
  <c r="E32" i="6"/>
  <c r="C30" i="6"/>
  <c r="C14" i="6"/>
  <c r="C15" i="6" s="1"/>
  <c r="K4" i="6"/>
  <c r="J4" i="6" s="1"/>
  <c r="I4" i="6"/>
  <c r="C36" i="4"/>
  <c r="D60" i="5"/>
  <c r="D77" i="5"/>
  <c r="D68" i="5"/>
  <c r="C68" i="5"/>
  <c r="F2" i="5"/>
  <c r="C66" i="5"/>
  <c r="D62" i="5"/>
  <c r="D75" i="5" s="1"/>
  <c r="F4" i="5" s="1"/>
  <c r="F8" i="5" s="1"/>
  <c r="F10" i="5" s="1"/>
  <c r="F11" i="5" s="1"/>
  <c r="C62" i="5"/>
  <c r="C60" i="5"/>
  <c r="C75" i="5" s="1"/>
  <c r="F3" i="5" s="1"/>
  <c r="C53" i="5"/>
  <c r="C38" i="5"/>
  <c r="C44" i="5" s="1"/>
  <c r="C30" i="5"/>
  <c r="C32" i="5" s="1"/>
  <c r="C17" i="5"/>
  <c r="C14" i="5"/>
  <c r="C15" i="5" s="1"/>
  <c r="K4" i="5"/>
  <c r="J4" i="5" s="1"/>
  <c r="I4" i="5"/>
  <c r="C28" i="4"/>
  <c r="C7" i="4"/>
  <c r="D74" i="1"/>
  <c r="C72" i="1"/>
  <c r="D72" i="1"/>
  <c r="C61" i="1"/>
  <c r="D61" i="1"/>
  <c r="D59" i="1"/>
  <c r="C81" i="3"/>
  <c r="D74" i="3"/>
  <c r="C64" i="3"/>
  <c r="D61" i="3"/>
  <c r="C61" i="3"/>
  <c r="D59" i="3"/>
  <c r="D72" i="3" s="1"/>
  <c r="C52" i="3"/>
  <c r="C43" i="3"/>
  <c r="C53" i="3" s="1"/>
  <c r="F2" i="3" s="1"/>
  <c r="C29" i="3"/>
  <c r="G20" i="3"/>
  <c r="G21" i="3" s="1"/>
  <c r="C16" i="3"/>
  <c r="C13" i="3"/>
  <c r="C14" i="3" s="1"/>
  <c r="G2" i="3"/>
  <c r="C16" i="1"/>
  <c r="G2" i="1"/>
  <c r="F2" i="1"/>
  <c r="E2" i="1"/>
  <c r="C2" i="1"/>
  <c r="C53" i="1"/>
  <c r="C64" i="1"/>
  <c r="G21" i="1"/>
  <c r="G20" i="1"/>
  <c r="C17" i="2"/>
  <c r="B17" i="2"/>
  <c r="C7" i="2"/>
  <c r="C3" i="2"/>
  <c r="C43" i="1"/>
  <c r="C81" i="1"/>
  <c r="C52" i="1"/>
  <c r="C29" i="1"/>
  <c r="C13" i="1"/>
  <c r="C51" i="9" l="1"/>
  <c r="C50" i="9"/>
  <c r="C46" i="9" s="1"/>
  <c r="C24" i="4"/>
  <c r="E54" i="6"/>
  <c r="F2" i="6" s="1"/>
  <c r="G54" i="6"/>
  <c r="F54" i="6"/>
  <c r="G2" i="6"/>
  <c r="C2" i="6"/>
  <c r="E2" i="6" s="1"/>
  <c r="C54" i="5"/>
  <c r="G2" i="5"/>
  <c r="G3" i="5"/>
  <c r="G7" i="5" s="1"/>
  <c r="E3" i="5"/>
  <c r="G4" i="5"/>
  <c r="E4" i="5"/>
  <c r="C8" i="4"/>
  <c r="E4" i="3"/>
  <c r="G4" i="3"/>
  <c r="G8" i="3" s="1"/>
  <c r="G10" i="3" s="1"/>
  <c r="G11" i="3" s="1"/>
  <c r="F4" i="3"/>
  <c r="F8" i="3" s="1"/>
  <c r="F10" i="3" s="1"/>
  <c r="F11" i="3" s="1"/>
  <c r="C31" i="3"/>
  <c r="C2" i="3" s="1"/>
  <c r="E2" i="3" s="1"/>
  <c r="C59" i="3"/>
  <c r="C72" i="3" s="1"/>
  <c r="C59" i="1"/>
  <c r="C14" i="1"/>
  <c r="C31" i="1"/>
  <c r="D3" i="9" l="1"/>
  <c r="D2" i="9"/>
  <c r="C22" i="4"/>
  <c r="C2" i="4" s="1"/>
  <c r="G8" i="6"/>
  <c r="G7" i="6"/>
  <c r="E7" i="6"/>
  <c r="E9" i="6" s="1"/>
  <c r="E8" i="6"/>
  <c r="E10" i="6" s="1"/>
  <c r="E11" i="6" s="1"/>
  <c r="F8" i="6"/>
  <c r="F10" i="6" s="1"/>
  <c r="F11" i="6" s="1"/>
  <c r="F7" i="6"/>
  <c r="F9" i="6" s="1"/>
  <c r="G8" i="5"/>
  <c r="G10" i="5" s="1"/>
  <c r="G11" i="5" s="1"/>
  <c r="G9" i="5"/>
  <c r="F7" i="5"/>
  <c r="F9" i="5" s="1"/>
  <c r="C2" i="5"/>
  <c r="E2" i="5" s="1"/>
  <c r="E8" i="3"/>
  <c r="E10" i="3" s="1"/>
  <c r="E11" i="3" s="1"/>
  <c r="E3" i="3"/>
  <c r="E7" i="3" s="1"/>
  <c r="E9" i="3" s="1"/>
  <c r="G3" i="3"/>
  <c r="G7" i="3" s="1"/>
  <c r="G9" i="3" s="1"/>
  <c r="F3" i="3"/>
  <c r="F7" i="3" s="1"/>
  <c r="F9" i="3" s="1"/>
  <c r="C3" i="4" l="1"/>
  <c r="H7" i="6"/>
  <c r="G9" i="6"/>
  <c r="H9" i="6" s="1"/>
  <c r="H8" i="6"/>
  <c r="G10" i="6"/>
  <c r="E8" i="5"/>
  <c r="E10" i="5" s="1"/>
  <c r="E11" i="5" s="1"/>
  <c r="E7" i="5"/>
  <c r="E9" i="5" s="1"/>
  <c r="E3" i="1"/>
  <c r="F3" i="1"/>
  <c r="F7" i="1" s="1"/>
  <c r="F9" i="1" s="1"/>
  <c r="G3" i="1"/>
  <c r="G7" i="1" s="1"/>
  <c r="G9" i="1" s="1"/>
  <c r="G11" i="6" l="1"/>
  <c r="H11" i="6" s="1"/>
  <c r="H10" i="6"/>
  <c r="E7" i="1"/>
  <c r="E9" i="1" s="1"/>
  <c r="F4" i="1"/>
  <c r="F8" i="1" s="1"/>
  <c r="G4" i="1"/>
  <c r="G8" i="1" s="1"/>
  <c r="G10" i="1" s="1"/>
  <c r="G11" i="1" s="1"/>
  <c r="E4" i="1"/>
  <c r="E8" i="1" s="1"/>
  <c r="E10" i="1" s="1"/>
  <c r="E11" i="1" s="1"/>
  <c r="F10" i="1" l="1"/>
  <c r="F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tc={7946D30D-226E-4324-8CEB-B9F49560FF24}</author>
    <author>Utilisateur</author>
  </authors>
  <commentList>
    <comment ref="C2" authorId="0" shapeId="0" xr:uid="{7946D30D-226E-4324-8CEB-B9F49560FF2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compris : «equipement nécessaire» et «autre prestation» </t>
      </text>
    </comment>
    <comment ref="A49" authorId="1" shapeId="0" xr:uid="{8849C5FD-BC84-41F2-A321-96960C697BDC}">
      <text>
        <r>
          <rPr>
            <b/>
            <sz val="9"/>
            <color indexed="81"/>
            <rFont val="Tahoma"/>
            <family val="2"/>
          </rPr>
          <t>Utilisateur:</t>
        </r>
        <r>
          <rPr>
            <sz val="9"/>
            <color indexed="81"/>
            <rFont val="Tahoma"/>
            <family val="2"/>
          </rPr>
          <t xml:space="preserve">
Revoyure ? 
</t>
        </r>
      </text>
    </comment>
    <comment ref="A51" authorId="1" shapeId="0" xr:uid="{BA8B505C-DF8C-4485-9EF4-58D19F617A52}">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52" authorId="1" shapeId="0" xr:uid="{37578EC6-C695-479F-8CF7-6FAB0C29C183}">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54" authorId="1" shapeId="0" xr:uid="{BE34AD93-693A-4F92-AF73-3A27112C5A13}">
      <text>
        <r>
          <rPr>
            <b/>
            <sz val="9"/>
            <color indexed="81"/>
            <rFont val="Tahoma"/>
            <family val="2"/>
          </rPr>
          <t>Utilisateur:</t>
        </r>
        <r>
          <rPr>
            <sz val="9"/>
            <color indexed="81"/>
            <rFont val="Tahoma"/>
            <family val="2"/>
          </rPr>
          <t xml:space="preserve">
Ajout d'étude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A43" authorId="0" shapeId="0" xr:uid="{28724B95-1A8F-4C6D-AE80-AFE47D75BA6E}">
      <text>
        <r>
          <rPr>
            <b/>
            <sz val="9"/>
            <color indexed="81"/>
            <rFont val="Tahoma"/>
            <family val="2"/>
          </rPr>
          <t>Utilisateur:</t>
        </r>
        <r>
          <rPr>
            <sz val="9"/>
            <color indexed="81"/>
            <rFont val="Tahoma"/>
            <family val="2"/>
          </rPr>
          <t xml:space="preserve">
Revoyure ? 
</t>
        </r>
      </text>
    </comment>
    <comment ref="A45" authorId="0" shapeId="0" xr:uid="{174C0B2A-9B01-4A15-9758-F8BBB28CF07F}">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46" authorId="0" shapeId="0" xr:uid="{8DD579ED-5E61-4AAC-8972-4E0BC8827ED3}">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49" authorId="0" shapeId="0" xr:uid="{59D22E33-FED3-483D-8266-DED7FBF6EF64}">
      <text>
        <r>
          <rPr>
            <b/>
            <sz val="9"/>
            <color indexed="81"/>
            <rFont val="Tahoma"/>
            <family val="2"/>
          </rPr>
          <t>Utilisateur:</t>
        </r>
        <r>
          <rPr>
            <sz val="9"/>
            <color indexed="81"/>
            <rFont val="Tahoma"/>
            <family val="2"/>
          </rPr>
          <t xml:space="preserve">
Ajout d'étude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A43" authorId="0" shapeId="0" xr:uid="{F30C31B5-88F1-48AD-AE07-EAFBB5415E9E}">
      <text>
        <r>
          <rPr>
            <b/>
            <sz val="9"/>
            <color indexed="81"/>
            <rFont val="Tahoma"/>
            <family val="2"/>
          </rPr>
          <t>Utilisateur:</t>
        </r>
        <r>
          <rPr>
            <sz val="9"/>
            <color indexed="81"/>
            <rFont val="Tahoma"/>
            <family val="2"/>
          </rPr>
          <t xml:space="preserve">
Revoyure ? 
</t>
        </r>
      </text>
    </comment>
    <comment ref="A45" authorId="0" shapeId="0" xr:uid="{01E20CAB-950C-4B68-9E75-EF89F9BB9EE6}">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46" authorId="0" shapeId="0" xr:uid="{9449A735-996C-4D0E-BA06-5477243CD569}">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49" authorId="0" shapeId="0" xr:uid="{BA6687DF-B96C-462F-9CC7-66E272D0DE05}">
      <text>
        <r>
          <rPr>
            <b/>
            <sz val="9"/>
            <color indexed="81"/>
            <rFont val="Tahoma"/>
            <family val="2"/>
          </rPr>
          <t>Utilisateur:</t>
        </r>
        <r>
          <rPr>
            <sz val="9"/>
            <color indexed="81"/>
            <rFont val="Tahoma"/>
            <family val="2"/>
          </rPr>
          <t xml:space="preserve">
Ajout d'étude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tc={21B935C1-6C53-47A9-AF56-C6AAE9862189}</author>
    <author>tc={506EA3C1-1CEB-41F2-82E7-537AC40BE12E}</author>
  </authors>
  <commentList>
    <comment ref="A59" authorId="0" shapeId="0" xr:uid="{0B15C11D-6098-4E7F-AAFC-670B54F75FAE}">
      <text>
        <r>
          <rPr>
            <b/>
            <sz val="9"/>
            <color indexed="81"/>
            <rFont val="Tahoma"/>
            <family val="2"/>
          </rPr>
          <t>Utilisateur:</t>
        </r>
        <r>
          <rPr>
            <sz val="9"/>
            <color indexed="81"/>
            <rFont val="Tahoma"/>
            <family val="2"/>
          </rPr>
          <t xml:space="preserve">
Revoyure ? 
</t>
        </r>
      </text>
    </comment>
    <comment ref="A61" authorId="0" shapeId="0" xr:uid="{8A931C7F-6EA1-4757-A0DF-49E141406B97}">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62" authorId="0" shapeId="0" xr:uid="{D712A65B-D21A-4E54-A5D7-443D2B2FD6F1}">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65" authorId="0" shapeId="0" xr:uid="{720D58D3-AC0F-490E-97DC-817BBB1318EC}">
      <text>
        <r>
          <rPr>
            <b/>
            <sz val="9"/>
            <color indexed="81"/>
            <rFont val="Tahoma"/>
            <family val="2"/>
          </rPr>
          <t>Utilisateur:</t>
        </r>
        <r>
          <rPr>
            <sz val="9"/>
            <color indexed="81"/>
            <rFont val="Tahoma"/>
            <family val="2"/>
          </rPr>
          <t xml:space="preserve">
Ajout d'étude</t>
        </r>
      </text>
    </comment>
    <comment ref="C66" authorId="1" shapeId="0" xr:uid="{21B935C1-6C53-47A9-AF56-C6AAE986218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ITI + VMC/chaudiere</t>
      </text>
    </comment>
    <comment ref="C67" authorId="2" shapeId="0" xr:uid="{506EA3C1-1CEB-41F2-82E7-537AC40BE12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tc={7959A7D2-1135-490A-B741-4329FE1EACB1}</author>
    <author>tc={8DD5126C-087C-4AA0-8E23-FE122A0BF545}</author>
    <author>tc={DE7F93CF-5512-4F52-8889-41F81173F762}</author>
  </authors>
  <commentList>
    <comment ref="A59" authorId="0" shapeId="0" xr:uid="{C17C1A21-B08E-4F44-8185-6ACA0C69EA01}">
      <text>
        <r>
          <rPr>
            <b/>
            <sz val="9"/>
            <color indexed="81"/>
            <rFont val="Tahoma"/>
            <family val="2"/>
          </rPr>
          <t>Utilisateur:</t>
        </r>
        <r>
          <rPr>
            <sz val="9"/>
            <color indexed="81"/>
            <rFont val="Tahoma"/>
            <family val="2"/>
          </rPr>
          <t xml:space="preserve">
Revoyure ? 
</t>
        </r>
      </text>
    </comment>
    <comment ref="D60" authorId="1" shapeId="0" xr:uid="{7959A7D2-1135-490A-B741-4329FE1EACB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text>
    </comment>
    <comment ref="A61" authorId="0" shapeId="0" xr:uid="{15FA6BE7-1C9E-4D54-BE67-64560FE676CA}">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62" authorId="0" shapeId="0" xr:uid="{4AC877C2-E321-4465-88AD-03B23701D916}">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65" authorId="0" shapeId="0" xr:uid="{3CA3D61F-CD92-4A8E-9A06-BEE0F450FEF2}">
      <text>
        <r>
          <rPr>
            <b/>
            <sz val="9"/>
            <color indexed="81"/>
            <rFont val="Tahoma"/>
            <family val="2"/>
          </rPr>
          <t>Utilisateur:</t>
        </r>
        <r>
          <rPr>
            <sz val="9"/>
            <color indexed="81"/>
            <rFont val="Tahoma"/>
            <family val="2"/>
          </rPr>
          <t xml:space="preserve">
Ajout d'étude</t>
        </r>
      </text>
    </comment>
    <comment ref="C66" authorId="2" shapeId="0" xr:uid="{8DD5126C-087C-4AA0-8E23-FE122A0BF54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ITI + VMC/chaudiere</t>
      </text>
    </comment>
    <comment ref="C67" authorId="3" shapeId="0" xr:uid="{DE7F93CF-5512-4F52-8889-41F81173F76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tc={4D3CC844-B4AF-4604-BDF2-990ABF0ED3E0}</author>
    <author>tc={DD505184-9852-4E6A-889B-22F8811083DF}</author>
  </authors>
  <commentList>
    <comment ref="A58" authorId="0" shapeId="0" xr:uid="{CA935C02-592F-475A-A8D6-D2170C5E2F88}">
      <text>
        <r>
          <rPr>
            <b/>
            <sz val="9"/>
            <color indexed="81"/>
            <rFont val="Tahoma"/>
            <family val="2"/>
          </rPr>
          <t>Utilisateur:</t>
        </r>
        <r>
          <rPr>
            <sz val="9"/>
            <color indexed="81"/>
            <rFont val="Tahoma"/>
            <family val="2"/>
          </rPr>
          <t xml:space="preserve">
Revoyure ? 
</t>
        </r>
      </text>
    </comment>
    <comment ref="D59" authorId="1" shapeId="0" xr:uid="{4D3CC844-B4AF-4604-BDF2-990ABF0ED3E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text>
    </comment>
    <comment ref="A60" authorId="0" shapeId="0" xr:uid="{92B1F86A-F420-47FD-A2D8-D66948E00E32}">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61" authorId="0" shapeId="0" xr:uid="{D9CF4003-E02B-4393-A123-110C25B0834D}">
      <text>
        <r>
          <rPr>
            <b/>
            <sz val="9"/>
            <color indexed="81"/>
            <rFont val="Tahoma"/>
            <family val="2"/>
          </rPr>
          <t>Utilisateur:</t>
        </r>
        <r>
          <rPr>
            <sz val="9"/>
            <color indexed="81"/>
            <rFont val="Tahoma"/>
            <family val="2"/>
          </rPr>
          <t xml:space="preserve">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
</t>
        </r>
      </text>
    </comment>
    <comment ref="A64" authorId="0" shapeId="0" xr:uid="{9C2D59D8-4E43-4079-AC21-C545CB402B1F}">
      <text>
        <r>
          <rPr>
            <b/>
            <sz val="9"/>
            <color indexed="81"/>
            <rFont val="Tahoma"/>
            <family val="2"/>
          </rPr>
          <t>Utilisateur:</t>
        </r>
        <r>
          <rPr>
            <sz val="9"/>
            <color indexed="81"/>
            <rFont val="Tahoma"/>
            <family val="2"/>
          </rPr>
          <t xml:space="preserve">
Ajout d'étude</t>
        </r>
      </text>
    </comment>
    <comment ref="C66" authorId="2" shapeId="0" xr:uid="{DD505184-9852-4E6A-889B-22F8811083D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Utilisateur</author>
    <author>tc={B4565163-FBEB-4971-AA93-05DF5F090329}</author>
    <author>tc={1D544122-E915-4C14-ACF6-C77696B37DB4}</author>
  </authors>
  <commentList>
    <comment ref="A58" authorId="0" shapeId="0" xr:uid="{D44987FD-2065-4424-866E-E807095A15F5}">
      <text>
        <r>
          <rPr>
            <b/>
            <sz val="9"/>
            <color indexed="81"/>
            <rFont val="Tahoma"/>
            <family val="2"/>
          </rPr>
          <t>Utilisateur:</t>
        </r>
        <r>
          <rPr>
            <sz val="9"/>
            <color indexed="81"/>
            <rFont val="Tahoma"/>
            <family val="2"/>
          </rPr>
          <t xml:space="preserve">
Revoyure ? 
</t>
        </r>
      </text>
    </comment>
    <comment ref="D59" authorId="1" shapeId="0" xr:uid="{B4565163-FBEB-4971-AA93-05DF5F09032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text>
    </comment>
    <comment ref="A60" authorId="0" shapeId="0" xr:uid="{B9142BC2-BA89-4CC5-B4ED-4B373A66E28D}">
      <text>
        <r>
          <rPr>
            <b/>
            <sz val="9"/>
            <color indexed="81"/>
            <rFont val="Tahoma"/>
            <family val="2"/>
          </rPr>
          <t>Utilisateur:</t>
        </r>
        <r>
          <rPr>
            <sz val="9"/>
            <color indexed="81"/>
            <rFont val="Tahoma"/>
            <family val="2"/>
          </rPr>
          <t xml:space="preserve">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 </t>
        </r>
      </text>
    </comment>
    <comment ref="A64" authorId="0" shapeId="0" xr:uid="{A41EB4F1-004A-4C10-8842-21072D36D11E}">
      <text>
        <r>
          <rPr>
            <b/>
            <sz val="9"/>
            <color indexed="81"/>
            <rFont val="Tahoma"/>
            <family val="2"/>
          </rPr>
          <t>Utilisateur:</t>
        </r>
        <r>
          <rPr>
            <sz val="9"/>
            <color indexed="81"/>
            <rFont val="Tahoma"/>
            <family val="2"/>
          </rPr>
          <t xml:space="preserve">
Ajout d'étude</t>
        </r>
      </text>
    </comment>
    <comment ref="C66" authorId="2" shapeId="0" xr:uid="{1D544122-E915-4C14-ACF6-C77696B37DB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C3" authorId="0" shapeId="0" xr:uid="{A4B6B774-8444-4AAC-A60F-5523CEA80829}">
      <text>
        <r>
          <rPr>
            <b/>
            <sz val="9"/>
            <color indexed="81"/>
            <rFont val="Tahoma"/>
            <family val="2"/>
          </rPr>
          <t>Utilisateur:</t>
        </r>
        <r>
          <rPr>
            <sz val="9"/>
            <color indexed="81"/>
            <rFont val="Tahoma"/>
            <family val="2"/>
          </rPr>
          <t xml:space="preserve">
Murs en terre adobe intérieur, murs bauge exterieur sous préau et enduit terre intérieur</t>
        </r>
      </text>
    </comment>
  </commentList>
</comments>
</file>

<file path=xl/sharedStrings.xml><?xml version="1.0" encoding="utf-8"?>
<sst xmlns="http://schemas.openxmlformats.org/spreadsheetml/2006/main" count="800" uniqueCount="169">
  <si>
    <t>Etude géotechnique</t>
  </si>
  <si>
    <t>Bureau de contrôle</t>
  </si>
  <si>
    <t>SPS</t>
  </si>
  <si>
    <t>BDB</t>
  </si>
  <si>
    <t>ACTEE</t>
  </si>
  <si>
    <t>Contrat de territoire</t>
  </si>
  <si>
    <t>SOMME</t>
  </si>
  <si>
    <t>Probabilité</t>
  </si>
  <si>
    <t>PSE</t>
  </si>
  <si>
    <t>Traitement anti-radon (film anti-radon, dallage béton, chape isolée, sol linoléum)</t>
  </si>
  <si>
    <t>Traitement des surfaces extérieures en mélange terre pierre côté Nord et Sud</t>
  </si>
  <si>
    <t>Modification des portails extérieurs donnant sur la cour</t>
  </si>
  <si>
    <t>Dégrossi intérieur à la chaux sur mur pierre intérieur</t>
  </si>
  <si>
    <t>Réfection des enduits de façades à la chaux</t>
  </si>
  <si>
    <t>Traitement préventif des bois de charpente</t>
  </si>
  <si>
    <t>Réfection de la couverture ardoise existante</t>
  </si>
  <si>
    <t>Meuble bas de rangement en allège dans les locaux côté Nord</t>
  </si>
  <si>
    <t>Mobilier de l'entrée (patères-casiers-étagères)</t>
  </si>
  <si>
    <t>Mobilier du sas extérieur (range bottes-étagères)</t>
  </si>
  <si>
    <t>TRAVAUX</t>
  </si>
  <si>
    <t>ETUDE</t>
  </si>
  <si>
    <t>SUBVENTIONS</t>
  </si>
  <si>
    <t>Total</t>
  </si>
  <si>
    <t>AMO Radon</t>
  </si>
  <si>
    <t xml:space="preserve">BDB </t>
  </si>
  <si>
    <t>DETR/DESIL</t>
  </si>
  <si>
    <t>AAP Bâtiment performant</t>
  </si>
  <si>
    <t>Edurenov</t>
  </si>
  <si>
    <t>CAF ?</t>
  </si>
  <si>
    <t>MSA ?</t>
  </si>
  <si>
    <t>Missions complémentaires</t>
  </si>
  <si>
    <t>Diagnostic Amiante/plomb/parasitaire</t>
  </si>
  <si>
    <t>Etude thermique</t>
  </si>
  <si>
    <t>Aménagement - EXE :
- Plans de détails techniques
- coupes techniques et plan de plantations détaillés</t>
  </si>
  <si>
    <t>Enduit Terre - CHANTIER : Accompagnement
participatif du chantier enduit terre / dortoir en bauge,avec les équipes de Kergrist et enfants de l'école (3 demies journées à 2)</t>
  </si>
  <si>
    <t>Aménagement - CHANTIER : Accompagnement
paysager et planification du chantier, plantations et
autres avec les équipes de Kergrist et équipes/parents de l'école et de la mairie (5 demies journées à 3)</t>
  </si>
  <si>
    <t>Scénario 1 : Tout</t>
  </si>
  <si>
    <t>x</t>
  </si>
  <si>
    <t>€ HT</t>
  </si>
  <si>
    <t xml:space="preserve">TOTAL </t>
  </si>
  <si>
    <t>Sous-total</t>
  </si>
  <si>
    <t xml:space="preserve">Sous-total </t>
  </si>
  <si>
    <t>Sous_total</t>
  </si>
  <si>
    <t xml:space="preserve">Scénario 2 : 
Tout sans les PSE  </t>
  </si>
  <si>
    <t>Scénario 3 : Tout sans les PSE et Missions sauf etude thermique</t>
  </si>
  <si>
    <t>V2</t>
  </si>
  <si>
    <t>Diag PEMD</t>
  </si>
  <si>
    <t>Test infiltration</t>
  </si>
  <si>
    <t>Cas très favorable</t>
  </si>
  <si>
    <t>Restauration - Valorisation des édifices publics</t>
  </si>
  <si>
    <t xml:space="preserve">80% de somme budget travaux </t>
  </si>
  <si>
    <t>Bien Vivre en Bretagne</t>
  </si>
  <si>
    <t>AAP QAI</t>
  </si>
  <si>
    <t>Recherche</t>
  </si>
  <si>
    <t>Fondation de France pour le moment aout 2025</t>
  </si>
  <si>
    <t>Renaturation des villes et des villages (Fond vert)</t>
  </si>
  <si>
    <t>Lancer la démarche</t>
  </si>
  <si>
    <t>Levier fort</t>
  </si>
  <si>
    <t>Fond verts : rénovation école</t>
  </si>
  <si>
    <t>Montant subventions cas défavorable</t>
  </si>
  <si>
    <t>Montant subventions cas favorable</t>
  </si>
  <si>
    <t>+</t>
  </si>
  <si>
    <t>TOTAL HT  (ETUDE ET TRAVAUX) Cas défavorable</t>
  </si>
  <si>
    <t>TOTAL HT (ETUDE ET TRAVAUX)  Cas très favorable</t>
  </si>
  <si>
    <t xml:space="preserve">AMO Kerlotec </t>
  </si>
  <si>
    <t xml:space="preserve">MOE </t>
  </si>
  <si>
    <t>Audit énergétique</t>
  </si>
  <si>
    <t>Cas très défavorable</t>
  </si>
  <si>
    <t xml:space="preserve">CEE </t>
  </si>
  <si>
    <t>Différence prix entre PAC et chaudiere</t>
  </si>
  <si>
    <t>Budget travaux ESQ</t>
  </si>
  <si>
    <t>Relancer pour savoir sur revoyure</t>
  </si>
  <si>
    <t>Rappeler en septembre</t>
  </si>
  <si>
    <t>TOTAL TTC  (ETUDE ET TRAVAUX) Cas très défavorable APS</t>
  </si>
  <si>
    <t>TOTAL TTC (ETUDE ET TRAVAUX)  Cas très favorable APS</t>
  </si>
  <si>
    <t>Reste à payer --&gt; Prêt : 300 000€ max</t>
  </si>
  <si>
    <t>Budget travaux APS HT avec option chaudière (HYPOTHESE)</t>
  </si>
  <si>
    <t>A FAIRE</t>
  </si>
  <si>
    <t>?</t>
  </si>
  <si>
    <t>LOT</t>
  </si>
  <si>
    <t>remplacement portail d'entrée : 5 000€ht</t>
  </si>
  <si>
    <t>Préau : HYP DD : 10 000 €ht</t>
  </si>
  <si>
    <t>Mext : dépose et repose des mêmes MEXT?</t>
  </si>
  <si>
    <t>3A</t>
  </si>
  <si>
    <t>3B</t>
  </si>
  <si>
    <t xml:space="preserve">Compris murs en terre adobe allégé pour l'intérieur et murs en bauge pour l'extérieur : 40 000 € ht
Compris enduit terre intérieur sur le gros mur de refend : 2 000 €ht
Suppresion élargissemnt ouverture motricité
Suprresion ouverture coté nord
</t>
  </si>
  <si>
    <t>Remplacement du FP en laine de bois par isolant non biosourcé, voir dépose et repose du même FP</t>
  </si>
  <si>
    <t>Suppression de la dépose du carrelage etvtavaux en lien</t>
  </si>
  <si>
    <t>Axe important</t>
  </si>
  <si>
    <t>Préau : demander un préau comme le précedent, seulement sur une partie de la façade SUD</t>
  </si>
  <si>
    <t xml:space="preserve">Cour de récréation </t>
  </si>
  <si>
    <t>Avec chaudiere</t>
  </si>
  <si>
    <t xml:space="preserve">Option chaudiere : ajout 30000€ HT ? </t>
  </si>
  <si>
    <t>AAP Bâtiments Performants</t>
  </si>
  <si>
    <t>Réponse début septembre</t>
  </si>
  <si>
    <t xml:space="preserve">Budget travaux APS HT </t>
  </si>
  <si>
    <t>Total HT</t>
  </si>
  <si>
    <t>A la louche</t>
  </si>
  <si>
    <t>A la rentrée  : Serge fait un point sur les études pouvant être financées (voi mail du 29/07/25</t>
  </si>
  <si>
    <t>Faire estimation via Hellio (Kerlotec)</t>
  </si>
  <si>
    <t>Cas favorable</t>
  </si>
  <si>
    <t>TOTAL HT (ETUDE ET TRAVAUX)  Cas favorable</t>
  </si>
  <si>
    <t>TOTAL TTC (ETUDE ET TRAVAUX)  Cas favorable APS</t>
  </si>
  <si>
    <t>dépasse les 80%</t>
  </si>
  <si>
    <t>TOTAL TTC (ETUDE ET TRAVAUX)  Cas favorable APS // Avec chaudiere</t>
  </si>
  <si>
    <t>Option chaudiere : différence de 31 000€ HT entre PAC et chaudière  (voir chiffrage scénarios fait par ALECOB )</t>
  </si>
  <si>
    <t>Expertise Radon</t>
  </si>
  <si>
    <t>Reste à payer --&gt; Prêt : 400 000€ max</t>
  </si>
  <si>
    <t>CAF</t>
  </si>
  <si>
    <t>Budget travaux total TTC</t>
  </si>
  <si>
    <t>Estimation via Hellio</t>
  </si>
  <si>
    <t>TOTAL ETUDES et TRAVAUX</t>
  </si>
  <si>
    <t>80% HT de somme budget travaux : max des aides publiques mobilisables</t>
  </si>
  <si>
    <t>Reste à charge minimum HT (80% des aides mobilisées)</t>
  </si>
  <si>
    <t xml:space="preserve">Scénario 2 : 
Budget travaux  sans les PSE  </t>
  </si>
  <si>
    <t>Scénario 3 : Budget travaux sans les PSE et Missions sauf etude thermique</t>
  </si>
  <si>
    <t>SUBVENTIONS liées aux travaux seulement</t>
  </si>
  <si>
    <t>Fond LEADER</t>
  </si>
  <si>
    <t xml:space="preserve">Fermé pour candidature </t>
  </si>
  <si>
    <t xml:space="preserve">Grandir en milieu Rural ( MSA) </t>
  </si>
  <si>
    <r>
      <t xml:space="preserve">Scénario 2 : 
Tout sans </t>
    </r>
    <r>
      <rPr>
        <b/>
        <sz val="11"/>
        <color theme="1"/>
        <rFont val="Aptos Narrow"/>
        <family val="2"/>
        <scheme val="minor"/>
      </rPr>
      <t>certains</t>
    </r>
    <r>
      <rPr>
        <sz val="11"/>
        <color theme="1"/>
        <rFont val="Aptos Narrow"/>
        <family val="2"/>
        <scheme val="minor"/>
      </rPr>
      <t xml:space="preserve"> PSE  </t>
    </r>
  </si>
  <si>
    <t>Fond FEDER</t>
  </si>
  <si>
    <t>SOMME subvention HT</t>
  </si>
  <si>
    <t>Réunion avec C. Chevalier mardi pro</t>
  </si>
  <si>
    <t>Hypothétique</t>
  </si>
  <si>
    <t>Attendre décembre</t>
  </si>
  <si>
    <t>TOTAL HT</t>
  </si>
  <si>
    <t>Fond chaleur " inclut dans le prix de la chaudière"</t>
  </si>
  <si>
    <r>
      <t xml:space="preserve">Scénario 3 : Tout sans </t>
    </r>
    <r>
      <rPr>
        <b/>
        <sz val="11"/>
        <color theme="1"/>
        <rFont val="Aptos Narrow"/>
        <family val="2"/>
        <scheme val="minor"/>
      </rPr>
      <t>certains</t>
    </r>
    <r>
      <rPr>
        <sz val="11"/>
        <color theme="1"/>
        <rFont val="Aptos Narrow"/>
        <family val="2"/>
        <scheme val="minor"/>
      </rPr>
      <t xml:space="preserve"> PSE et sans Missions sauf etude thermique</t>
    </r>
  </si>
  <si>
    <t>radon</t>
  </si>
  <si>
    <t xml:space="preserve">financeur privé? </t>
  </si>
  <si>
    <t>PLUS TVA</t>
  </si>
  <si>
    <t>Etudes</t>
  </si>
  <si>
    <t>€ TTC</t>
  </si>
  <si>
    <t>TOTAL ETUDES et TRAVAUX (TVA incluse)</t>
  </si>
  <si>
    <t>SANS SUBVENTION</t>
  </si>
  <si>
    <t>AVEC SUBVENTION</t>
  </si>
  <si>
    <t>Fond chaleur</t>
  </si>
  <si>
    <t>Répartie sur 3 ans</t>
  </si>
  <si>
    <t>Fond de soutien aux projets locaux</t>
  </si>
  <si>
    <t>Ambition commune</t>
  </si>
  <si>
    <t>CDST et CCBR</t>
  </si>
  <si>
    <t>Fonds de compensation pour la taxe sur la valeur ajoutée</t>
  </si>
  <si>
    <t>Hypothèse</t>
  </si>
  <si>
    <t>30% du budget</t>
  </si>
  <si>
    <t>10% du budget</t>
  </si>
  <si>
    <t>Échéance</t>
  </si>
  <si>
    <t>Décembre</t>
  </si>
  <si>
    <t>Avant début décembre</t>
  </si>
  <si>
    <t>Potentiellement plus</t>
  </si>
  <si>
    <t>Budget travaux PHASE</t>
  </si>
  <si>
    <t>Prestation complémentaire et obligatoire</t>
  </si>
  <si>
    <t>Autre prestation</t>
  </si>
  <si>
    <t>Répartie sur 2,5 ans</t>
  </si>
  <si>
    <t xml:space="preserve">Equipement nécessaire </t>
  </si>
  <si>
    <t>Budget Concours de Blandine</t>
  </si>
  <si>
    <t>Traitement anti-radon</t>
  </si>
  <si>
    <t xml:space="preserve">Biomasse </t>
  </si>
  <si>
    <t>Budget travaux PHASE 1</t>
  </si>
  <si>
    <t>Budget travaux PHASE 2</t>
  </si>
  <si>
    <t>Réalisé</t>
  </si>
  <si>
    <t>Fait à moitié (phase conception)</t>
  </si>
  <si>
    <t>Fait à moitié (phases programmation - conception)</t>
  </si>
  <si>
    <t>Fait</t>
  </si>
  <si>
    <t>Peut-être petite presta ou montant réglé à la commmande ?</t>
  </si>
  <si>
    <t>Non, en chantier, mais montant dû à la commande ?</t>
  </si>
  <si>
    <t>Fait à moitié ?</t>
  </si>
  <si>
    <t>TTC</t>
  </si>
  <si>
    <t xml:space="preserve"> auxquels il faut ajouter les éventuels frais de résiliation de contrats, une part de la somme est due même si non réalisé.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</si>
</sst>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0\ &quot;€&quot;;[Red]\-#,##0\ &quot;€&quot;"/>
    <numFmt numFmtId="44" formatCode="_-* #,##0.00\ &quot;€&quot;_-;\-* #,##0.00\ &quot;€&quot;_-;_-* &quot;-&quot;??\ &quot;€&quot;_-;_-@_-"/>
    <numFmt numFmtId="164" formatCode="#,##0\ &quot;€&quot;"/>
    <numFmt numFmtId="165" formatCode="_-* #,##0\ &quot;€&quot;_-;\-* #,##0\ &quot;€&quot;_-;_-* &quot;-&quot;??\ &quot;€&quot;_-;_-@_-"/>
    <numFmt numFmtId="166" formatCode="#,##0.00\ &quot;€&quot;"/>
    <numFmt numFmtId="167" formatCode="_-* #,##0.0\ &quot;€&quot;_-;\-* #,##0.0\ &quot;€&quot;_-;_-* &quot;-&quot;??\ &quot;€&quot;_-;_-@_-"/>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trike/>
      <sz val="11"/>
      <color theme="1"/>
      <name val="Aptos Narrow"/>
      <family val="2"/>
      <scheme val="minor"/>
    </font>
    <font>
      <sz val="9"/>
      <color indexed="81"/>
      <name val="Tahoma"/>
      <family val="2"/>
    </font>
    <font>
      <b/>
      <sz val="9"/>
      <color indexed="81"/>
      <name val="Tahoma"/>
      <family val="2"/>
    </font>
    <font>
      <sz val="11"/>
      <color rgb="FFFF0000"/>
      <name val="Aptos Narrow"/>
      <family val="2"/>
      <scheme val="minor"/>
    </font>
    <font>
      <i/>
      <sz val="11"/>
      <color theme="1"/>
      <name val="Aptos Narrow"/>
      <family val="2"/>
      <scheme val="minor"/>
    </font>
    <font>
      <i/>
      <sz val="11"/>
      <color rgb="FFFF0000"/>
      <name val="Aptos Narrow"/>
      <family val="2"/>
      <scheme val="minor"/>
    </font>
    <font>
      <sz val="8"/>
      <color theme="1"/>
      <name val="Aptos Narrow"/>
      <family val="2"/>
      <scheme val="minor"/>
    </font>
    <font>
      <sz val="11"/>
      <name val="Aptos Narrow"/>
      <family val="2"/>
      <scheme val="minor"/>
    </font>
    <font>
      <i/>
      <sz val="11"/>
      <name val="Aptos Narrow"/>
      <family val="2"/>
      <scheme val="minor"/>
    </font>
    <font>
      <sz val="16"/>
      <color theme="1"/>
      <name val="Aptos Narrow"/>
      <family val="2"/>
      <scheme val="minor"/>
    </font>
    <font>
      <sz val="11"/>
      <color theme="8" tint="0.39997558519241921"/>
      <name val="Aptos Narrow"/>
      <family val="2"/>
      <scheme val="minor"/>
    </font>
    <font>
      <b/>
      <sz val="11"/>
      <color rgb="FFFF0000"/>
      <name val="Aptos Narrow"/>
      <family val="2"/>
      <scheme val="minor"/>
    </font>
  </fonts>
  <fills count="9">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bgColor indexed="64"/>
      </patternFill>
    </fill>
    <fill>
      <patternFill patternType="solid">
        <fgColor theme="2"/>
        <bgColor indexed="64"/>
      </patternFill>
    </fill>
    <fill>
      <patternFill patternType="solid">
        <fgColor theme="7"/>
        <bgColor indexed="64"/>
      </patternFill>
    </fill>
    <fill>
      <patternFill patternType="solid">
        <fgColor theme="0" tint="-4.9989318521683403E-2"/>
        <bgColor indexed="64"/>
      </patternFill>
    </fill>
  </fills>
  <borders count="2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40">
    <xf numFmtId="0" fontId="0" fillId="0" borderId="0" xfId="0"/>
    <xf numFmtId="164" fontId="0" fillId="0" borderId="0" xfId="0" applyNumberFormat="1"/>
    <xf numFmtId="0" fontId="0" fillId="0" borderId="0" xfId="0" applyAlignment="1">
      <alignment wrapText="1"/>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2" fillId="2" borderId="0" xfId="0" applyFont="1" applyFill="1"/>
    <xf numFmtId="0" fontId="0" fillId="2" borderId="0" xfId="0" applyFill="1"/>
    <xf numFmtId="164" fontId="0" fillId="2" borderId="0" xfId="0" applyNumberFormat="1" applyFill="1"/>
    <xf numFmtId="0" fontId="2" fillId="2" borderId="0" xfId="0" applyFont="1" applyFill="1" applyAlignment="1">
      <alignment vertical="top" wrapText="1"/>
    </xf>
    <xf numFmtId="164" fontId="2" fillId="0" borderId="0" xfId="0" applyNumberFormat="1" applyFont="1"/>
    <xf numFmtId="164" fontId="2" fillId="4" borderId="0" xfId="0" applyNumberFormat="1" applyFont="1" applyFill="1"/>
    <xf numFmtId="0" fontId="3" fillId="0" borderId="0" xfId="0" applyFont="1"/>
    <xf numFmtId="0" fontId="0" fillId="0" borderId="1" xfId="0" applyBorder="1"/>
    <xf numFmtId="0" fontId="0" fillId="0" borderId="2" xfId="0" applyBorder="1"/>
    <xf numFmtId="0" fontId="0" fillId="0" borderId="4" xfId="0" applyBorder="1"/>
    <xf numFmtId="44" fontId="0" fillId="3" borderId="5" xfId="1" applyFont="1" applyFill="1" applyBorder="1"/>
    <xf numFmtId="0" fontId="2" fillId="0" borderId="6" xfId="0" applyFont="1" applyBorder="1"/>
    <xf numFmtId="0" fontId="2" fillId="0" borderId="7" xfId="0" applyFont="1" applyBorder="1"/>
    <xf numFmtId="0" fontId="2" fillId="0" borderId="1" xfId="0" applyFont="1" applyBorder="1"/>
    <xf numFmtId="164" fontId="0" fillId="0" borderId="3" xfId="0" applyNumberFormat="1" applyBorder="1"/>
    <xf numFmtId="164" fontId="0" fillId="0" borderId="5" xfId="0" applyNumberFormat="1" applyBorder="1"/>
    <xf numFmtId="0" fontId="0" fillId="0" borderId="4" xfId="0" applyBorder="1" applyAlignment="1">
      <alignment vertical="top" wrapText="1"/>
    </xf>
    <xf numFmtId="0" fontId="2" fillId="0" borderId="6" xfId="0" applyFont="1" applyBorder="1" applyAlignment="1">
      <alignment vertical="top" wrapText="1"/>
    </xf>
    <xf numFmtId="164" fontId="2" fillId="0" borderId="8" xfId="0" applyNumberFormat="1" applyFont="1" applyBorder="1"/>
    <xf numFmtId="164" fontId="0" fillId="3" borderId="5" xfId="0" applyNumberFormat="1" applyFill="1" applyBorder="1"/>
    <xf numFmtId="0" fontId="2" fillId="0" borderId="9" xfId="0" applyFont="1" applyBorder="1"/>
    <xf numFmtId="0" fontId="0" fillId="0" borderId="10" xfId="0" applyBorder="1"/>
    <xf numFmtId="164" fontId="2" fillId="0" borderId="11" xfId="0" applyNumberFormat="1" applyFont="1" applyBorder="1"/>
    <xf numFmtId="165" fontId="0" fillId="0" borderId="0" xfId="1" applyNumberFormat="1" applyFont="1"/>
    <xf numFmtId="0" fontId="6" fillId="0" borderId="10" xfId="0" applyFont="1" applyBorder="1"/>
    <xf numFmtId="44" fontId="0" fillId="3" borderId="4" xfId="1" applyFont="1" applyFill="1" applyBorder="1"/>
    <xf numFmtId="0" fontId="0" fillId="0" borderId="6" xfId="0" applyBorder="1"/>
    <xf numFmtId="0" fontId="0" fillId="0" borderId="7" xfId="0" applyBorder="1"/>
    <xf numFmtId="164" fontId="2" fillId="0" borderId="12" xfId="0" applyNumberFormat="1" applyFont="1" applyBorder="1"/>
    <xf numFmtId="164" fontId="2" fillId="0" borderId="13" xfId="0" applyNumberFormat="1" applyFont="1" applyBorder="1"/>
    <xf numFmtId="164" fontId="2" fillId="0" borderId="14" xfId="0" applyNumberFormat="1" applyFont="1" applyBorder="1"/>
    <xf numFmtId="164" fontId="2" fillId="0" borderId="15" xfId="0" applyNumberFormat="1" applyFont="1" applyBorder="1"/>
    <xf numFmtId="0" fontId="0" fillId="0" borderId="13" xfId="0" applyBorder="1"/>
    <xf numFmtId="0" fontId="0" fillId="0" borderId="15" xfId="0" applyBorder="1"/>
    <xf numFmtId="164" fontId="0" fillId="0" borderId="14" xfId="0" applyNumberFormat="1" applyBorder="1"/>
    <xf numFmtId="164" fontId="0" fillId="0" borderId="13" xfId="0" applyNumberFormat="1" applyBorder="1"/>
    <xf numFmtId="0" fontId="7" fillId="0" borderId="0" xfId="0" applyFont="1"/>
    <xf numFmtId="0" fontId="2" fillId="0" borderId="4" xfId="0" applyFont="1" applyBorder="1"/>
    <xf numFmtId="0" fontId="6" fillId="0" borderId="0" xfId="0" applyFont="1"/>
    <xf numFmtId="44" fontId="0" fillId="0" borderId="0" xfId="1" applyFont="1"/>
    <xf numFmtId="44" fontId="0" fillId="0" borderId="0" xfId="0" applyNumberFormat="1"/>
    <xf numFmtId="0" fontId="0" fillId="0" borderId="0" xfId="0" applyAlignment="1">
      <alignment horizontal="right"/>
    </xf>
    <xf numFmtId="165" fontId="1" fillId="0" borderId="0" xfId="1" applyNumberFormat="1" applyFont="1" applyFill="1"/>
    <xf numFmtId="165" fontId="1" fillId="0" borderId="0" xfId="1" applyNumberFormat="1" applyFont="1"/>
    <xf numFmtId="164" fontId="6" fillId="0" borderId="8" xfId="0" applyNumberFormat="1" applyFont="1" applyBorder="1"/>
    <xf numFmtId="0" fontId="8" fillId="0" borderId="0" xfId="0" applyFont="1"/>
    <xf numFmtId="165" fontId="2" fillId="5" borderId="0" xfId="1" applyNumberFormat="1" applyFont="1" applyFill="1"/>
    <xf numFmtId="0" fontId="6" fillId="0" borderId="7" xfId="0" applyFont="1" applyBorder="1"/>
    <xf numFmtId="44" fontId="0" fillId="0" borderId="5" xfId="1" applyFont="1" applyFill="1" applyBorder="1"/>
    <xf numFmtId="164" fontId="0" fillId="0" borderId="0" xfId="0" applyNumberFormat="1" applyAlignment="1">
      <alignment wrapText="1"/>
    </xf>
    <xf numFmtId="164" fontId="10" fillId="0" borderId="8" xfId="0" applyNumberFormat="1" applyFont="1" applyBorder="1"/>
    <xf numFmtId="0" fontId="0" fillId="0" borderId="1" xfId="0" applyBorder="1" applyAlignment="1">
      <alignment wrapText="1"/>
    </xf>
    <xf numFmtId="0" fontId="0" fillId="0" borderId="2" xfId="0" applyBorder="1" applyAlignment="1">
      <alignment wrapText="1"/>
    </xf>
    <xf numFmtId="164" fontId="0" fillId="0" borderId="3" xfId="0" applyNumberFormat="1" applyBorder="1" applyAlignment="1">
      <alignment wrapText="1"/>
    </xf>
    <xf numFmtId="164" fontId="2" fillId="0" borderId="4" xfId="0" applyNumberFormat="1" applyFont="1" applyBorder="1"/>
    <xf numFmtId="0" fontId="0" fillId="0" borderId="5" xfId="0" applyBorder="1"/>
    <xf numFmtId="0" fontId="0" fillId="0" borderId="8" xfId="0" applyBorder="1"/>
    <xf numFmtId="0" fontId="2" fillId="0" borderId="13" xfId="0" applyFont="1" applyBorder="1"/>
    <xf numFmtId="164" fontId="0" fillId="3" borderId="0" xfId="0" applyNumberFormat="1" applyFill="1"/>
    <xf numFmtId="0" fontId="11" fillId="0" borderId="0" xfId="0" applyFont="1"/>
    <xf numFmtId="164" fontId="0" fillId="4" borderId="0" xfId="0" applyNumberFormat="1" applyFill="1"/>
    <xf numFmtId="164" fontId="0" fillId="0" borderId="0" xfId="1" applyNumberFormat="1" applyFont="1"/>
    <xf numFmtId="165" fontId="2" fillId="0" borderId="15" xfId="1" applyNumberFormat="1" applyFont="1" applyFill="1" applyBorder="1"/>
    <xf numFmtId="165" fontId="2" fillId="0" borderId="14" xfId="1" applyNumberFormat="1" applyFont="1" applyFill="1" applyBorder="1"/>
    <xf numFmtId="164" fontId="2" fillId="0" borderId="16" xfId="0" applyNumberFormat="1" applyFont="1" applyBorder="1"/>
    <xf numFmtId="164" fontId="2" fillId="0" borderId="21" xfId="0" applyNumberFormat="1" applyFont="1" applyBorder="1"/>
    <xf numFmtId="164" fontId="2" fillId="0" borderId="17" xfId="0" applyNumberFormat="1" applyFont="1" applyBorder="1"/>
    <xf numFmtId="164" fontId="2" fillId="0" borderId="18" xfId="0" applyNumberFormat="1" applyFont="1" applyBorder="1"/>
    <xf numFmtId="164" fontId="2" fillId="0" borderId="19" xfId="0" applyNumberFormat="1" applyFont="1" applyBorder="1"/>
    <xf numFmtId="164" fontId="0" fillId="0" borderId="4" xfId="0" applyNumberFormat="1" applyBorder="1"/>
    <xf numFmtId="165" fontId="0" fillId="3" borderId="0" xfId="1" applyNumberFormat="1" applyFont="1" applyFill="1"/>
    <xf numFmtId="164" fontId="6" fillId="0" borderId="5" xfId="0" applyNumberFormat="1" applyFont="1" applyBorder="1"/>
    <xf numFmtId="3" fontId="0" fillId="0" borderId="0" xfId="0" applyNumberFormat="1"/>
    <xf numFmtId="166" fontId="0" fillId="0" borderId="0" xfId="0" applyNumberFormat="1" applyAlignment="1">
      <alignment horizontal="center"/>
    </xf>
    <xf numFmtId="164" fontId="10" fillId="0" borderId="5" xfId="0" applyNumberFormat="1" applyFont="1" applyBorder="1"/>
    <xf numFmtId="164" fontId="0" fillId="0" borderId="8" xfId="0" applyNumberFormat="1" applyBorder="1"/>
    <xf numFmtId="0" fontId="0" fillId="0" borderId="4" xfId="0" applyBorder="1" applyAlignment="1">
      <alignment horizontal="right" vertical="top" wrapText="1"/>
    </xf>
    <xf numFmtId="0" fontId="0" fillId="0" borderId="6" xfId="0" applyBorder="1" applyAlignment="1">
      <alignment horizontal="right" vertical="top" wrapText="1"/>
    </xf>
    <xf numFmtId="0" fontId="0" fillId="0" borderId="4" xfId="0" applyBorder="1" applyAlignment="1">
      <alignment horizontal="right"/>
    </xf>
    <xf numFmtId="0" fontId="0" fillId="0" borderId="6" xfId="0" applyBorder="1" applyAlignment="1">
      <alignment horizontal="right"/>
    </xf>
    <xf numFmtId="164" fontId="12" fillId="2" borderId="0" xfId="0" applyNumberFormat="1" applyFont="1" applyFill="1"/>
    <xf numFmtId="0" fontId="2" fillId="6" borderId="13" xfId="0" applyFont="1" applyFill="1" applyBorder="1"/>
    <xf numFmtId="0" fontId="6" fillId="6" borderId="15" xfId="0" applyFont="1" applyFill="1" applyBorder="1"/>
    <xf numFmtId="164" fontId="2" fillId="6" borderId="14" xfId="0" applyNumberFormat="1" applyFont="1" applyFill="1" applyBorder="1"/>
    <xf numFmtId="0" fontId="0" fillId="6" borderId="15" xfId="0" applyFill="1" applyBorder="1"/>
    <xf numFmtId="164" fontId="2" fillId="6" borderId="14" xfId="1" applyNumberFormat="1" applyFont="1" applyFill="1" applyBorder="1"/>
    <xf numFmtId="164" fontId="0" fillId="6" borderId="0" xfId="0" applyNumberFormat="1" applyFill="1"/>
    <xf numFmtId="0" fontId="0" fillId="6" borderId="0" xfId="0" applyFill="1"/>
    <xf numFmtId="165" fontId="0" fillId="0" borderId="0" xfId="1" applyNumberFormat="1" applyFont="1" applyFill="1"/>
    <xf numFmtId="0" fontId="2" fillId="0" borderId="0" xfId="0" applyFont="1" applyAlignment="1">
      <alignment horizontal="center" vertical="center"/>
    </xf>
    <xf numFmtId="0" fontId="2" fillId="0" borderId="0" xfId="0" applyFont="1" applyAlignment="1">
      <alignment vertical="center"/>
    </xf>
    <xf numFmtId="0" fontId="2" fillId="0" borderId="22" xfId="0" applyFont="1" applyBorder="1" applyAlignment="1">
      <alignment horizontal="center" vertical="center"/>
    </xf>
    <xf numFmtId="164" fontId="2" fillId="0" borderId="23" xfId="0" applyNumberFormat="1" applyFont="1" applyBorder="1"/>
    <xf numFmtId="164" fontId="2" fillId="0" borderId="24" xfId="0" applyNumberFormat="1" applyFont="1" applyBorder="1"/>
    <xf numFmtId="0" fontId="0" fillId="0" borderId="0" xfId="0" applyAlignment="1">
      <alignment vertical="center" wrapText="1"/>
    </xf>
    <xf numFmtId="167" fontId="0" fillId="0" borderId="5" xfId="1" applyNumberFormat="1" applyFont="1" applyFill="1" applyBorder="1"/>
    <xf numFmtId="164" fontId="0" fillId="0" borderId="0" xfId="0" applyNumberFormat="1" applyAlignment="1">
      <alignment horizontal="right"/>
    </xf>
    <xf numFmtId="0" fontId="0" fillId="0" borderId="0" xfId="0" applyAlignment="1">
      <alignment horizontal="center"/>
    </xf>
    <xf numFmtId="164" fontId="2" fillId="7" borderId="24" xfId="0" applyNumberFormat="1" applyFont="1" applyFill="1" applyBorder="1"/>
    <xf numFmtId="0" fontId="7" fillId="0" borderId="0" xfId="0" applyFont="1" applyAlignment="1">
      <alignment horizontal="center"/>
    </xf>
    <xf numFmtId="0" fontId="2" fillId="6" borderId="25" xfId="0" applyFont="1" applyFill="1" applyBorder="1"/>
    <xf numFmtId="0" fontId="0" fillId="6" borderId="26" xfId="0" applyFill="1" applyBorder="1"/>
    <xf numFmtId="164" fontId="2" fillId="6" borderId="27" xfId="0" applyNumberFormat="1" applyFont="1" applyFill="1" applyBorder="1"/>
    <xf numFmtId="165" fontId="13" fillId="0" borderId="0" xfId="1" applyNumberFormat="1" applyFont="1"/>
    <xf numFmtId="9" fontId="13" fillId="0" borderId="0" xfId="0" applyNumberFormat="1" applyFont="1"/>
    <xf numFmtId="164" fontId="13" fillId="6" borderId="0" xfId="0" applyNumberFormat="1" applyFont="1" applyFill="1"/>
    <xf numFmtId="164" fontId="14" fillId="6" borderId="14" xfId="0" applyNumberFormat="1" applyFont="1" applyFill="1" applyBorder="1"/>
    <xf numFmtId="164" fontId="7" fillId="0" borderId="0" xfId="0" applyNumberFormat="1" applyFont="1" applyAlignment="1">
      <alignment horizontal="right"/>
    </xf>
    <xf numFmtId="3" fontId="7" fillId="0" borderId="0" xfId="0" applyNumberFormat="1" applyFont="1" applyAlignment="1">
      <alignment horizontal="right"/>
    </xf>
    <xf numFmtId="164" fontId="2" fillId="8" borderId="0" xfId="0" applyNumberFormat="1" applyFont="1" applyFill="1"/>
    <xf numFmtId="164" fontId="0" fillId="0" borderId="0" xfId="0" applyNumberFormat="1" applyAlignment="1">
      <alignment horizontal="center"/>
    </xf>
    <xf numFmtId="166" fontId="12" fillId="2" borderId="0" xfId="0" applyNumberFormat="1" applyFont="1" applyFill="1"/>
    <xf numFmtId="164" fontId="0" fillId="6" borderId="0" xfId="1" applyNumberFormat="1" applyFont="1" applyFill="1"/>
    <xf numFmtId="6" fontId="0" fillId="0" borderId="28" xfId="0" applyNumberFormat="1" applyBorder="1"/>
    <xf numFmtId="164" fontId="0" fillId="0" borderId="28" xfId="0" applyNumberFormat="1" applyBorder="1"/>
    <xf numFmtId="0" fontId="0" fillId="0" borderId="28" xfId="0" applyBorder="1" applyAlignment="1">
      <alignment horizontal="right"/>
    </xf>
    <xf numFmtId="44" fontId="0" fillId="0" borderId="28" xfId="1" applyFont="1" applyFill="1" applyBorder="1"/>
    <xf numFmtId="6" fontId="2" fillId="0" borderId="28" xfId="0" applyNumberFormat="1" applyFont="1" applyBorder="1"/>
    <xf numFmtId="0" fontId="0" fillId="0" borderId="0" xfId="0" applyAlignment="1">
      <alignment horizontal="left" vertical="top" wrapText="1"/>
    </xf>
    <xf numFmtId="166"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center"/>
    </xf>
    <xf numFmtId="0" fontId="0" fillId="0" borderId="20" xfId="0" applyBorder="1" applyAlignment="1">
      <alignment horizontal="center" wrapText="1"/>
    </xf>
    <xf numFmtId="0" fontId="0" fillId="0" borderId="17" xfId="0" applyBorder="1" applyAlignment="1">
      <alignment horizontal="center" wrapText="1"/>
    </xf>
    <xf numFmtId="0" fontId="0" fillId="0" borderId="4" xfId="0" applyBorder="1" applyAlignment="1">
      <alignment horizontal="center" wrapText="1"/>
    </xf>
    <xf numFmtId="0" fontId="0" fillId="0" borderId="19" xfId="0" applyBorder="1" applyAlignment="1">
      <alignment horizontal="center" wrapText="1"/>
    </xf>
    <xf numFmtId="0" fontId="9" fillId="0" borderId="9" xfId="0" applyFont="1" applyBorder="1" applyAlignment="1">
      <alignment horizontal="center" wrapText="1"/>
    </xf>
    <xf numFmtId="0" fontId="9" fillId="0" borderId="11" xfId="0" applyFont="1" applyBorder="1" applyAlignment="1">
      <alignment horizontal="center" wrapText="1"/>
    </xf>
    <xf numFmtId="0" fontId="0" fillId="3" borderId="0" xfId="0" applyFill="1" applyAlignment="1">
      <alignment horizontal="center"/>
    </xf>
    <xf numFmtId="0" fontId="0" fillId="0" borderId="16" xfId="0" applyBorder="1" applyAlignment="1">
      <alignment horizontal="center" wrapText="1"/>
    </xf>
    <xf numFmtId="0" fontId="0" fillId="0" borderId="18" xfId="0" applyBorder="1" applyAlignment="1">
      <alignment horizontal="center" wrapText="1"/>
    </xf>
    <xf numFmtId="0" fontId="0" fillId="0" borderId="9" xfId="0" applyBorder="1" applyAlignment="1">
      <alignment horizontal="center" wrapText="1"/>
    </xf>
    <xf numFmtId="0" fontId="0" fillId="0" borderId="11" xfId="0" applyBorder="1" applyAlignment="1">
      <alignment horizontal="center" wrapText="1"/>
    </xf>
    <xf numFmtId="165" fontId="0" fillId="0" borderId="0" xfId="1" applyNumberFormat="1" applyFont="1" applyAlignment="1">
      <alignment horizontal="center"/>
    </xf>
  </cellXfs>
  <cellStyles count="2">
    <cellStyle name="Monétaire" xfId="1" builtinId="4"/>
    <cellStyle name="Normal" xfId="0" builtinId="0"/>
  </cellStyles>
  <dxfs count="12">
    <dxf>
      <font>
        <color rgb="FF9C0006"/>
      </font>
      <fill>
        <patternFill>
          <bgColor rgb="FFFFC7CE"/>
        </patternFill>
      </fill>
    </dxf>
    <dxf>
      <fill>
        <patternFill>
          <bgColor theme="9"/>
        </patternFill>
      </fill>
    </dxf>
    <dxf>
      <font>
        <color rgb="FF9C0006"/>
      </font>
      <fill>
        <patternFill>
          <bgColor rgb="FFFFC7CE"/>
        </patternFill>
      </fill>
    </dxf>
    <dxf>
      <fill>
        <patternFill>
          <bgColor theme="9"/>
        </patternFill>
      </fill>
    </dxf>
    <dxf>
      <font>
        <color rgb="FF9C0006"/>
      </font>
      <fill>
        <patternFill>
          <bgColor rgb="FFFFC7CE"/>
        </patternFill>
      </fill>
    </dxf>
    <dxf>
      <fill>
        <patternFill>
          <bgColor theme="9"/>
        </patternFill>
      </fill>
    </dxf>
    <dxf>
      <font>
        <color rgb="FF9C0006"/>
      </font>
      <fill>
        <patternFill>
          <bgColor rgb="FFFFC7CE"/>
        </patternFill>
      </fill>
    </dxf>
    <dxf>
      <fill>
        <patternFill>
          <bgColor theme="9"/>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433428</xdr:colOff>
      <xdr:row>40</xdr:row>
      <xdr:rowOff>93870</xdr:rowOff>
    </xdr:from>
    <xdr:to>
      <xdr:col>11</xdr:col>
      <xdr:colOff>635143</xdr:colOff>
      <xdr:row>57</xdr:row>
      <xdr:rowOff>16565</xdr:rowOff>
    </xdr:to>
    <xdr:pic>
      <xdr:nvPicPr>
        <xdr:cNvPr id="4" name="Image 3">
          <a:extLst>
            <a:ext uri="{FF2B5EF4-FFF2-40B4-BE49-F238E27FC236}">
              <a16:creationId xmlns:a16="http://schemas.microsoft.com/office/drawing/2014/main" id="{7DDAD315-4A22-FFD6-75D3-5001E5D2EC16}"/>
            </a:ext>
          </a:extLst>
        </xdr:cNvPr>
        <xdr:cNvPicPr>
          <a:picLocks noChangeAspect="1"/>
        </xdr:cNvPicPr>
      </xdr:nvPicPr>
      <xdr:blipFill>
        <a:blip xmlns:r="http://schemas.openxmlformats.org/officeDocument/2006/relationships" r:embed="rId1"/>
        <a:stretch>
          <a:fillRect/>
        </a:stretch>
      </xdr:blipFill>
      <xdr:spPr>
        <a:xfrm>
          <a:off x="8931385" y="7410174"/>
          <a:ext cx="4773715" cy="2838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16565</xdr:colOff>
      <xdr:row>79</xdr:row>
      <xdr:rowOff>16566</xdr:rowOff>
    </xdr:from>
    <xdr:to>
      <xdr:col>7</xdr:col>
      <xdr:colOff>849535</xdr:colOff>
      <xdr:row>87</xdr:row>
      <xdr:rowOff>72630</xdr:rowOff>
    </xdr:to>
    <xdr:pic>
      <xdr:nvPicPr>
        <xdr:cNvPr id="2" name="Image 1">
          <a:extLst>
            <a:ext uri="{FF2B5EF4-FFF2-40B4-BE49-F238E27FC236}">
              <a16:creationId xmlns:a16="http://schemas.microsoft.com/office/drawing/2014/main" id="{54F9C7CC-EAB6-43F7-B682-77E5ACDC6DFB}"/>
            </a:ext>
          </a:extLst>
        </xdr:cNvPr>
        <xdr:cNvPicPr>
          <a:picLocks noChangeAspect="1"/>
        </xdr:cNvPicPr>
      </xdr:nvPicPr>
      <xdr:blipFill>
        <a:blip xmlns:r="http://schemas.openxmlformats.org/officeDocument/2006/relationships" r:embed="rId1"/>
        <a:stretch>
          <a:fillRect/>
        </a:stretch>
      </xdr:blipFill>
      <xdr:spPr>
        <a:xfrm>
          <a:off x="8436665" y="16342416"/>
          <a:ext cx="3595220" cy="1961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1060174</xdr:colOff>
      <xdr:row>78</xdr:row>
      <xdr:rowOff>176696</xdr:rowOff>
    </xdr:from>
    <xdr:to>
      <xdr:col>8</xdr:col>
      <xdr:colOff>43361</xdr:colOff>
      <xdr:row>87</xdr:row>
      <xdr:rowOff>50543</xdr:rowOff>
    </xdr:to>
    <xdr:pic>
      <xdr:nvPicPr>
        <xdr:cNvPr id="2" name="Image 1">
          <a:extLst>
            <a:ext uri="{FF2B5EF4-FFF2-40B4-BE49-F238E27FC236}">
              <a16:creationId xmlns:a16="http://schemas.microsoft.com/office/drawing/2014/main" id="{C873B0A7-AA83-420E-B41D-582D32CD8628}"/>
            </a:ext>
          </a:extLst>
        </xdr:cNvPr>
        <xdr:cNvPicPr>
          <a:picLocks noChangeAspect="1"/>
        </xdr:cNvPicPr>
      </xdr:nvPicPr>
      <xdr:blipFill>
        <a:blip xmlns:r="http://schemas.openxmlformats.org/officeDocument/2006/relationships" r:embed="rId1"/>
        <a:stretch>
          <a:fillRect/>
        </a:stretch>
      </xdr:blipFill>
      <xdr:spPr>
        <a:xfrm>
          <a:off x="8394424" y="16680346"/>
          <a:ext cx="3593287" cy="19629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11043</xdr:colOff>
      <xdr:row>76</xdr:row>
      <xdr:rowOff>19188</xdr:rowOff>
    </xdr:from>
    <xdr:to>
      <xdr:col>8</xdr:col>
      <xdr:colOff>82013</xdr:colOff>
      <xdr:row>90</xdr:row>
      <xdr:rowOff>147035</xdr:rowOff>
    </xdr:to>
    <xdr:pic>
      <xdr:nvPicPr>
        <xdr:cNvPr id="2" name="Image 1">
          <a:extLst>
            <a:ext uri="{FF2B5EF4-FFF2-40B4-BE49-F238E27FC236}">
              <a16:creationId xmlns:a16="http://schemas.microsoft.com/office/drawing/2014/main" id="{8B2BE394-9695-E65D-F06C-4961C3DFF53E}"/>
            </a:ext>
          </a:extLst>
        </xdr:cNvPr>
        <xdr:cNvPicPr>
          <a:picLocks noChangeAspect="1"/>
        </xdr:cNvPicPr>
      </xdr:nvPicPr>
      <xdr:blipFill>
        <a:blip xmlns:r="http://schemas.openxmlformats.org/officeDocument/2006/relationships" r:embed="rId1"/>
        <a:stretch>
          <a:fillRect/>
        </a:stretch>
      </xdr:blipFill>
      <xdr:spPr>
        <a:xfrm>
          <a:off x="8437217" y="15794797"/>
          <a:ext cx="3593839" cy="1950021"/>
        </a:xfrm>
        <a:prstGeom prst="rect">
          <a:avLst/>
        </a:prstGeom>
      </xdr:spPr>
    </xdr:pic>
    <xdr:clientData/>
  </xdr:twoCellAnchor>
  <xdr:twoCellAnchor>
    <xdr:from>
      <xdr:col>3</xdr:col>
      <xdr:colOff>706783</xdr:colOff>
      <xdr:row>71</xdr:row>
      <xdr:rowOff>143565</xdr:rowOff>
    </xdr:from>
    <xdr:to>
      <xdr:col>3</xdr:col>
      <xdr:colOff>712304</xdr:colOff>
      <xdr:row>73</xdr:row>
      <xdr:rowOff>27608</xdr:rowOff>
    </xdr:to>
    <xdr:cxnSp macro="">
      <xdr:nvCxnSpPr>
        <xdr:cNvPr id="4" name="Connecteur droit avec flèche 3">
          <a:extLst>
            <a:ext uri="{FF2B5EF4-FFF2-40B4-BE49-F238E27FC236}">
              <a16:creationId xmlns:a16="http://schemas.microsoft.com/office/drawing/2014/main" id="{1DB1C25F-6D32-C46C-80BF-D63EE5CDDAF7}"/>
            </a:ext>
          </a:extLst>
        </xdr:cNvPr>
        <xdr:cNvCxnSpPr/>
      </xdr:nvCxnSpPr>
      <xdr:spPr>
        <a:xfrm>
          <a:off x="6951870" y="14997043"/>
          <a:ext cx="5521" cy="259522"/>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22087</xdr:colOff>
      <xdr:row>76</xdr:row>
      <xdr:rowOff>68141</xdr:rowOff>
    </xdr:from>
    <xdr:to>
      <xdr:col>9</xdr:col>
      <xdr:colOff>126187</xdr:colOff>
      <xdr:row>93</xdr:row>
      <xdr:rowOff>80774</xdr:rowOff>
    </xdr:to>
    <xdr:pic>
      <xdr:nvPicPr>
        <xdr:cNvPr id="2" name="Image 1">
          <a:extLst>
            <a:ext uri="{FF2B5EF4-FFF2-40B4-BE49-F238E27FC236}">
              <a16:creationId xmlns:a16="http://schemas.microsoft.com/office/drawing/2014/main" id="{6A69BD1D-8C10-4CC5-8417-E8A5EFA1ECFF}"/>
            </a:ext>
          </a:extLst>
        </xdr:cNvPr>
        <xdr:cNvPicPr>
          <a:picLocks noChangeAspect="1"/>
        </xdr:cNvPicPr>
      </xdr:nvPicPr>
      <xdr:blipFill>
        <a:blip xmlns:r="http://schemas.openxmlformats.org/officeDocument/2006/relationships" r:embed="rId1"/>
        <a:stretch>
          <a:fillRect/>
        </a:stretch>
      </xdr:blipFill>
      <xdr:spPr>
        <a:xfrm>
          <a:off x="8442187" y="15943141"/>
          <a:ext cx="4390350" cy="24065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lphine Denis" id="{2456C437-8FD1-4845-92EB-FAB63954DEFF}" userId="S::delphine.denis@kerlotec.com::93e1eb89-fabf-4749-b722-77ceb060d1d2"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10-20T12:30:50.17" personId="{2456C437-8FD1-4845-92EB-FAB63954DEFF}" id="{7946D30D-226E-4324-8CEB-B9F49560FF24}">
    <text xml:space="preserve">Pas compris : «equipement nécessaire» et «autre prestation»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C66" dT="2025-09-18T12:04:57.95" personId="{2456C437-8FD1-4845-92EB-FAB63954DEFF}" id="{21B935C1-6C53-47A9-AF56-C6AAE9862189}">
    <text>ITI + VMC/chaudiere</text>
  </threadedComment>
  <threadedComment ref="C67" dT="2025-07-31T13:58:15.56" personId="{2456C437-8FD1-4845-92EB-FAB63954DEFF}" id="{506EA3C1-1CEB-41F2-82E7-537AC40BE12E}">
    <text>Stricte minimum de la subvention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60" dT="2025-07-31T13:57:58.52" personId="{2456C437-8FD1-4845-92EB-FAB63954DEFF}" id="{7959A7D2-1135-490A-B741-4329FE1EACB1}">
    <text>40 % de subvention DETR</text>
  </threadedComment>
  <threadedComment ref="C66" dT="2025-09-18T12:04:57.95" personId="{2456C437-8FD1-4845-92EB-FAB63954DEFF}" id="{8DD5126C-087C-4AA0-8E23-FE122A0BF545}">
    <text>ITI + VMC/chaudiere</text>
  </threadedComment>
  <threadedComment ref="C67" dT="2025-07-31T13:58:15.56" personId="{2456C437-8FD1-4845-92EB-FAB63954DEFF}" id="{DE7F93CF-5512-4F52-8889-41F81173F762}">
    <text>Stricte minimum de la subvention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D59" dT="2025-07-31T13:57:58.52" personId="{2456C437-8FD1-4845-92EB-FAB63954DEFF}" id="{4D3CC844-B4AF-4604-BDF2-990ABF0ED3E0}">
    <text>40 % de subvention DETR</text>
  </threadedComment>
  <threadedComment ref="C66" dT="2025-07-31T13:58:15.56" personId="{2456C437-8FD1-4845-92EB-FAB63954DEFF}" id="{DD505184-9852-4E6A-889B-22F8811083DF}">
    <text>Stricte minimum de la subvention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D59" dT="2025-07-31T13:57:58.52" personId="{2456C437-8FD1-4845-92EB-FAB63954DEFF}" id="{B4565163-FBEB-4971-AA93-05DF5F090329}">
    <text>40 % de subvention DETR</text>
  </threadedComment>
  <threadedComment ref="C66" dT="2025-07-31T13:58:15.56" personId="{2456C437-8FD1-4845-92EB-FAB63954DEFF}" id="{1D544122-E915-4C14-ACF6-C77696B37DB4}">
    <text>Stricte minimum de la subvention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2E21-841B-4420-A8ED-2ED84965CA7E}">
  <sheetPr>
    <tabColor theme="5" tint="0.59999389629810485"/>
    <pageSetUpPr fitToPage="1"/>
  </sheetPr>
  <dimension ref="A1:F77"/>
  <sheetViews>
    <sheetView zoomScaleNormal="100" workbookViewId="0">
      <selection activeCell="C57" sqref="C57"/>
    </sheetView>
  </sheetViews>
  <sheetFormatPr baseColWidth="10" defaultRowHeight="14.4" x14ac:dyDescent="0.3"/>
  <cols>
    <col min="1" max="1" width="47.77734375" customWidth="1"/>
    <col min="2" max="2" width="5.77734375" customWidth="1"/>
    <col min="3" max="3" width="22.77734375" style="1" customWidth="1"/>
    <col min="4" max="4" width="25.6640625" customWidth="1"/>
    <col min="5" max="5" width="21.77734375" customWidth="1"/>
    <col min="6" max="6" width="10.88671875" customWidth="1"/>
  </cols>
  <sheetData>
    <row r="1" spans="1:6" ht="71.55" customHeight="1" x14ac:dyDescent="0.3">
      <c r="B1" s="96"/>
      <c r="C1" s="97" t="s">
        <v>135</v>
      </c>
      <c r="D1" s="97" t="s">
        <v>136</v>
      </c>
      <c r="E1" s="95"/>
      <c r="F1" s="100"/>
    </row>
    <row r="2" spans="1:6" s="4" customFormat="1" x14ac:dyDescent="0.3">
      <c r="A2" s="4" t="s">
        <v>134</v>
      </c>
      <c r="B2" s="1" t="s">
        <v>38</v>
      </c>
      <c r="C2" s="98">
        <f>C6+C25+C38+45000</f>
        <v>984321.62999999989</v>
      </c>
      <c r="D2" s="98">
        <f>C2-C46</f>
        <v>236144.19999999995</v>
      </c>
      <c r="E2" s="1"/>
      <c r="F2" s="1"/>
    </row>
    <row r="3" spans="1:6" s="4" customFormat="1" ht="15" thickBot="1" x14ac:dyDescent="0.35">
      <c r="A3" s="4" t="s">
        <v>134</v>
      </c>
      <c r="B3" s="1" t="s">
        <v>133</v>
      </c>
      <c r="C3" s="99">
        <f>C2*1.2</f>
        <v>1181185.9559999998</v>
      </c>
      <c r="D3" s="104">
        <f>C3-C46</f>
        <v>433008.52599999984</v>
      </c>
      <c r="E3" s="113" t="s">
        <v>153</v>
      </c>
      <c r="F3" s="10"/>
    </row>
    <row r="4" spans="1:6" s="4" customFormat="1" ht="13.95" customHeight="1" x14ac:dyDescent="0.3">
      <c r="A4"/>
      <c r="C4" s="10"/>
      <c r="E4" s="79"/>
    </row>
    <row r="5" spans="1:6" ht="16.5" customHeight="1" x14ac:dyDescent="0.3">
      <c r="A5" s="4"/>
      <c r="C5" s="10"/>
      <c r="E5" s="48"/>
    </row>
    <row r="6" spans="1:6" s="7" customFormat="1" ht="21.6" thickBot="1" x14ac:dyDescent="0.45">
      <c r="A6" s="6" t="s">
        <v>19</v>
      </c>
      <c r="B6" s="7" t="s">
        <v>38</v>
      </c>
      <c r="C6" s="86">
        <f>C9+C11+C10</f>
        <v>805789.04999999993</v>
      </c>
    </row>
    <row r="7" spans="1:6" ht="15" hidden="1" thickBot="1" x14ac:dyDescent="0.35">
      <c r="A7" s="26" t="s">
        <v>70</v>
      </c>
      <c r="B7" s="27"/>
      <c r="C7" s="28">
        <f>635000</f>
        <v>635000</v>
      </c>
      <c r="E7" t="s">
        <v>37</v>
      </c>
    </row>
    <row r="8" spans="1:6" ht="15" hidden="1" thickBot="1" x14ac:dyDescent="0.35">
      <c r="A8" s="19"/>
      <c r="B8" t="s">
        <v>61</v>
      </c>
      <c r="C8" s="1">
        <f>B9*C7</f>
        <v>0</v>
      </c>
    </row>
    <row r="9" spans="1:6" ht="15" thickBot="1" x14ac:dyDescent="0.35">
      <c r="A9" s="87" t="s">
        <v>158</v>
      </c>
      <c r="B9" s="88"/>
      <c r="C9" s="112">
        <f>527305.59+87972.5+C15</f>
        <v>644578.09</v>
      </c>
      <c r="D9" s="114" t="s">
        <v>155</v>
      </c>
      <c r="E9" s="1"/>
      <c r="F9" s="1"/>
    </row>
    <row r="10" spans="1:6" ht="15" thickBot="1" x14ac:dyDescent="0.35">
      <c r="A10" s="87" t="s">
        <v>159</v>
      </c>
      <c r="B10" s="88"/>
      <c r="C10" s="112">
        <f>98350.96+21860</f>
        <v>120210.96</v>
      </c>
      <c r="D10" s="114" t="s">
        <v>155</v>
      </c>
      <c r="E10" s="1"/>
      <c r="F10" s="1"/>
    </row>
    <row r="11" spans="1:6" ht="15" thickBot="1" x14ac:dyDescent="0.35">
      <c r="A11" s="87" t="s">
        <v>8</v>
      </c>
      <c r="B11" s="90"/>
      <c r="C11" s="91">
        <f>C12</f>
        <v>41000</v>
      </c>
    </row>
    <row r="12" spans="1:6" x14ac:dyDescent="0.3">
      <c r="A12" s="82" t="s">
        <v>156</v>
      </c>
      <c r="C12" s="80">
        <v>41000</v>
      </c>
    </row>
    <row r="13" spans="1:6" ht="28.8" hidden="1" x14ac:dyDescent="0.3">
      <c r="A13" s="82" t="s">
        <v>10</v>
      </c>
      <c r="C13" s="21">
        <v>54000</v>
      </c>
    </row>
    <row r="14" spans="1:6" ht="14.55" customHeight="1" thickBot="1" x14ac:dyDescent="0.35">
      <c r="A14" s="82"/>
      <c r="C14" s="21"/>
    </row>
    <row r="15" spans="1:6" ht="15" thickBot="1" x14ac:dyDescent="0.35">
      <c r="A15" s="87" t="s">
        <v>154</v>
      </c>
      <c r="B15" s="90"/>
      <c r="C15" s="91">
        <f>C16+C21+C22+C23</f>
        <v>29300</v>
      </c>
    </row>
    <row r="16" spans="1:6" x14ac:dyDescent="0.3">
      <c r="A16" s="82" t="s">
        <v>11</v>
      </c>
      <c r="C16" s="21">
        <v>9000</v>
      </c>
    </row>
    <row r="17" spans="1:4" hidden="1" x14ac:dyDescent="0.3">
      <c r="A17" s="82" t="s">
        <v>12</v>
      </c>
      <c r="C17" s="21">
        <v>18700</v>
      </c>
    </row>
    <row r="18" spans="1:4" hidden="1" x14ac:dyDescent="0.3">
      <c r="A18" s="82" t="s">
        <v>13</v>
      </c>
      <c r="C18" s="21">
        <v>40000</v>
      </c>
    </row>
    <row r="19" spans="1:4" hidden="1" x14ac:dyDescent="0.3">
      <c r="A19" s="82" t="s">
        <v>14</v>
      </c>
      <c r="C19" s="21">
        <v>8000</v>
      </c>
    </row>
    <row r="20" spans="1:4" hidden="1" x14ac:dyDescent="0.3">
      <c r="A20" s="82" t="s">
        <v>15</v>
      </c>
      <c r="C20" s="21">
        <v>100000</v>
      </c>
    </row>
    <row r="21" spans="1:4" ht="28.8" x14ac:dyDescent="0.3">
      <c r="A21" s="82" t="s">
        <v>16</v>
      </c>
      <c r="C21" s="21">
        <v>12100</v>
      </c>
    </row>
    <row r="22" spans="1:4" x14ac:dyDescent="0.3">
      <c r="A22" s="82" t="s">
        <v>17</v>
      </c>
      <c r="C22" s="21">
        <v>5500</v>
      </c>
    </row>
    <row r="23" spans="1:4" x14ac:dyDescent="0.3">
      <c r="A23" s="83" t="s">
        <v>18</v>
      </c>
      <c r="B23" s="33"/>
      <c r="C23" s="81">
        <v>2700</v>
      </c>
    </row>
    <row r="24" spans="1:4" x14ac:dyDescent="0.3">
      <c r="B24" s="4"/>
    </row>
    <row r="25" spans="1:4" s="7" customFormat="1" ht="21" x14ac:dyDescent="0.4">
      <c r="A25" s="9" t="s">
        <v>20</v>
      </c>
      <c r="B25" s="7" t="s">
        <v>38</v>
      </c>
      <c r="C25" s="86">
        <f>C27</f>
        <v>95375.08</v>
      </c>
    </row>
    <row r="26" spans="1:4" ht="15" thickBot="1" x14ac:dyDescent="0.35"/>
    <row r="27" spans="1:4" ht="15" thickBot="1" x14ac:dyDescent="0.35">
      <c r="A27" s="87" t="s">
        <v>132</v>
      </c>
      <c r="B27" s="90"/>
      <c r="C27" s="89">
        <f>SUM(C28:C34)</f>
        <v>95375.08</v>
      </c>
      <c r="D27" s="1"/>
    </row>
    <row r="28" spans="1:4" x14ac:dyDescent="0.3">
      <c r="A28" s="84" t="s">
        <v>65</v>
      </c>
      <c r="B28" s="44"/>
      <c r="C28" s="80">
        <v>60500</v>
      </c>
      <c r="D28" s="109">
        <f>310*45</f>
        <v>13950</v>
      </c>
    </row>
    <row r="29" spans="1:4" x14ac:dyDescent="0.3">
      <c r="A29" s="84" t="s">
        <v>66</v>
      </c>
      <c r="C29" s="21">
        <v>3510</v>
      </c>
      <c r="D29" s="110">
        <v>0.8</v>
      </c>
    </row>
    <row r="30" spans="1:4" x14ac:dyDescent="0.3">
      <c r="A30" s="84" t="s">
        <v>0</v>
      </c>
      <c r="C30" s="21">
        <f>5970+650</f>
        <v>6620</v>
      </c>
      <c r="D30" s="110">
        <v>0.8</v>
      </c>
    </row>
    <row r="31" spans="1:4" x14ac:dyDescent="0.3">
      <c r="A31" s="84" t="s">
        <v>129</v>
      </c>
      <c r="C31" s="101">
        <v>1680</v>
      </c>
      <c r="D31" s="110"/>
    </row>
    <row r="32" spans="1:4" x14ac:dyDescent="0.3">
      <c r="A32" s="84" t="s">
        <v>31</v>
      </c>
      <c r="C32" s="21">
        <v>3265.08</v>
      </c>
      <c r="D32" s="110"/>
    </row>
    <row r="33" spans="1:5" x14ac:dyDescent="0.3">
      <c r="A33" s="84" t="s">
        <v>47</v>
      </c>
      <c r="C33" s="21">
        <v>600</v>
      </c>
      <c r="D33" s="110">
        <v>0.8</v>
      </c>
    </row>
    <row r="34" spans="1:5" x14ac:dyDescent="0.3">
      <c r="A34" s="85" t="s">
        <v>3</v>
      </c>
      <c r="B34" s="33"/>
      <c r="C34" s="81">
        <f>15400+3800</f>
        <v>19200</v>
      </c>
    </row>
    <row r="36" spans="1:5" ht="7.5" hidden="1" customHeight="1" x14ac:dyDescent="0.3">
      <c r="A36" s="47"/>
    </row>
    <row r="37" spans="1:5" x14ac:dyDescent="0.3">
      <c r="A37" s="47"/>
    </row>
    <row r="38" spans="1:5" s="7" customFormat="1" ht="21" x14ac:dyDescent="0.4">
      <c r="A38" s="9" t="s">
        <v>152</v>
      </c>
      <c r="B38" s="7" t="s">
        <v>38</v>
      </c>
      <c r="C38" s="86">
        <f>C41+C42+C43</f>
        <v>38157.5</v>
      </c>
    </row>
    <row r="39" spans="1:5" ht="10.95" customHeight="1" x14ac:dyDescent="0.3">
      <c r="A39" s="47"/>
    </row>
    <row r="40" spans="1:5" ht="14.55" customHeight="1" thickBot="1" x14ac:dyDescent="0.35">
      <c r="A40" s="106" t="s">
        <v>151</v>
      </c>
      <c r="B40" s="107"/>
      <c r="C40" s="108"/>
    </row>
    <row r="41" spans="1:5" x14ac:dyDescent="0.3">
      <c r="A41" s="84" t="s">
        <v>1</v>
      </c>
      <c r="C41" s="101">
        <v>6850</v>
      </c>
    </row>
    <row r="42" spans="1:5" x14ac:dyDescent="0.3">
      <c r="A42" s="84" t="s">
        <v>2</v>
      </c>
      <c r="C42" s="101">
        <v>4207.5</v>
      </c>
    </row>
    <row r="43" spans="1:5" x14ac:dyDescent="0.3">
      <c r="A43" s="85" t="s">
        <v>64</v>
      </c>
      <c r="B43" s="33"/>
      <c r="C43" s="81">
        <v>27100</v>
      </c>
      <c r="D43" s="110">
        <v>0.65</v>
      </c>
    </row>
    <row r="44" spans="1:5" x14ac:dyDescent="0.3">
      <c r="A44" s="47"/>
    </row>
    <row r="45" spans="1:5" ht="9" customHeight="1" x14ac:dyDescent="0.3"/>
    <row r="46" spans="1:5" s="7" customFormat="1" ht="18" customHeight="1" x14ac:dyDescent="0.4">
      <c r="A46" s="6" t="s">
        <v>21</v>
      </c>
      <c r="B46" s="7" t="s">
        <v>38</v>
      </c>
      <c r="C46" s="117">
        <f>SUM(C48:C57)</f>
        <v>748177.42999999993</v>
      </c>
    </row>
    <row r="47" spans="1:5" x14ac:dyDescent="0.3">
      <c r="C47" s="115"/>
      <c r="D47" s="103" t="s">
        <v>143</v>
      </c>
      <c r="E47" t="s">
        <v>146</v>
      </c>
    </row>
    <row r="48" spans="1:5" x14ac:dyDescent="0.3">
      <c r="A48" s="47" t="s">
        <v>5</v>
      </c>
      <c r="C48" s="118">
        <v>99405</v>
      </c>
      <c r="D48" s="105"/>
      <c r="E48" s="42"/>
    </row>
    <row r="49" spans="1:5" x14ac:dyDescent="0.3">
      <c r="A49" s="47" t="s">
        <v>51</v>
      </c>
      <c r="C49" s="118">
        <v>60450</v>
      </c>
      <c r="D49" s="105"/>
      <c r="E49" s="42"/>
    </row>
    <row r="50" spans="1:5" x14ac:dyDescent="0.3">
      <c r="A50" s="47" t="s">
        <v>25</v>
      </c>
      <c r="C50" s="67">
        <f>0.3*C6</f>
        <v>241736.71499999997</v>
      </c>
      <c r="D50" s="105" t="s">
        <v>144</v>
      </c>
      <c r="E50" s="42" t="s">
        <v>147</v>
      </c>
    </row>
    <row r="51" spans="1:5" x14ac:dyDescent="0.3">
      <c r="A51" s="47" t="s">
        <v>58</v>
      </c>
      <c r="C51" s="67">
        <f>0.3*C6</f>
        <v>241736.71499999997</v>
      </c>
      <c r="D51" s="105" t="s">
        <v>144</v>
      </c>
      <c r="E51" s="42" t="s">
        <v>148</v>
      </c>
    </row>
    <row r="52" spans="1:5" x14ac:dyDescent="0.3">
      <c r="A52" s="47" t="s">
        <v>4</v>
      </c>
      <c r="C52" s="111">
        <v>40149</v>
      </c>
      <c r="D52" s="105" t="s">
        <v>149</v>
      </c>
      <c r="E52" s="42"/>
    </row>
    <row r="53" spans="1:5" x14ac:dyDescent="0.3">
      <c r="A53" s="47" t="s">
        <v>3</v>
      </c>
      <c r="C53" s="118">
        <v>25000</v>
      </c>
      <c r="D53" s="105"/>
      <c r="E53" s="42"/>
    </row>
    <row r="54" spans="1:5" x14ac:dyDescent="0.3">
      <c r="A54" s="47" t="s">
        <v>26</v>
      </c>
      <c r="C54" s="67"/>
      <c r="D54" s="105"/>
      <c r="E54" s="42"/>
    </row>
    <row r="55" spans="1:5" x14ac:dyDescent="0.3">
      <c r="A55" s="47" t="s">
        <v>68</v>
      </c>
      <c r="C55" s="67">
        <v>14700</v>
      </c>
      <c r="D55" s="105"/>
      <c r="E55" s="42"/>
    </row>
    <row r="56" spans="1:5" x14ac:dyDescent="0.3">
      <c r="A56" s="47" t="s">
        <v>49</v>
      </c>
      <c r="C56" s="67"/>
      <c r="D56" s="105"/>
    </row>
    <row r="57" spans="1:5" x14ac:dyDescent="0.3">
      <c r="A57" s="47" t="s">
        <v>137</v>
      </c>
      <c r="C57" s="67">
        <v>25000</v>
      </c>
      <c r="D57" s="105" t="s">
        <v>157</v>
      </c>
      <c r="E57" s="42"/>
    </row>
    <row r="58" spans="1:5" x14ac:dyDescent="0.3">
      <c r="A58" s="47"/>
      <c r="C58" s="67"/>
      <c r="D58" s="105"/>
      <c r="E58" s="42"/>
    </row>
    <row r="59" spans="1:5" x14ac:dyDescent="0.3">
      <c r="A59" s="47"/>
      <c r="D59" s="105"/>
      <c r="E59" s="42"/>
    </row>
    <row r="60" spans="1:5" x14ac:dyDescent="0.3">
      <c r="A60" s="47"/>
      <c r="C60"/>
    </row>
    <row r="61" spans="1:5" hidden="1" x14ac:dyDescent="0.3">
      <c r="A61" s="47" t="s">
        <v>142</v>
      </c>
      <c r="C61"/>
      <c r="D61" t="s">
        <v>103</v>
      </c>
    </row>
    <row r="62" spans="1:5" x14ac:dyDescent="0.3">
      <c r="C62"/>
    </row>
    <row r="63" spans="1:5" x14ac:dyDescent="0.3">
      <c r="C63"/>
      <c r="D63" s="1"/>
    </row>
    <row r="64" spans="1:5" x14ac:dyDescent="0.3">
      <c r="C64"/>
    </row>
    <row r="65" spans="1:4" x14ac:dyDescent="0.3">
      <c r="C65"/>
    </row>
    <row r="66" spans="1:4" x14ac:dyDescent="0.3">
      <c r="A66" s="55"/>
      <c r="C66"/>
    </row>
    <row r="67" spans="1:4" ht="48.45" customHeight="1" x14ac:dyDescent="0.3">
      <c r="C67"/>
      <c r="D67" s="10"/>
    </row>
    <row r="68" spans="1:4" x14ac:dyDescent="0.3">
      <c r="C68"/>
    </row>
    <row r="69" spans="1:4" x14ac:dyDescent="0.3">
      <c r="C69"/>
    </row>
    <row r="70" spans="1:4" x14ac:dyDescent="0.3">
      <c r="C70"/>
    </row>
    <row r="71" spans="1:4" x14ac:dyDescent="0.3">
      <c r="C71"/>
    </row>
    <row r="73" spans="1:4" x14ac:dyDescent="0.3">
      <c r="A73" s="45"/>
    </row>
    <row r="74" spans="1:4" x14ac:dyDescent="0.3">
      <c r="A74" s="45"/>
    </row>
    <row r="75" spans="1:4" x14ac:dyDescent="0.3">
      <c r="A75" s="45"/>
    </row>
    <row r="76" spans="1:4" x14ac:dyDescent="0.3">
      <c r="A76" s="45"/>
    </row>
    <row r="77" spans="1:4" x14ac:dyDescent="0.3">
      <c r="A77" s="45"/>
    </row>
  </sheetData>
  <pageMargins left="0.25" right="0.25" top="0.75" bottom="0.75" header="0.3" footer="0.3"/>
  <pageSetup paperSize="9" scale="73"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11D4-CC32-4A44-AF58-1B4FE4F770C2}">
  <sheetPr>
    <tabColor theme="5" tint="0.59999389629810485"/>
    <pageSetUpPr fitToPage="1"/>
  </sheetPr>
  <dimension ref="A1:F76"/>
  <sheetViews>
    <sheetView topLeftCell="A22" zoomScale="115" zoomScaleNormal="115" workbookViewId="0">
      <selection activeCell="A29" sqref="A29:XFD31"/>
    </sheetView>
  </sheetViews>
  <sheetFormatPr baseColWidth="10" defaultRowHeight="14.4" x14ac:dyDescent="0.3"/>
  <cols>
    <col min="1" max="1" width="47.77734375" customWidth="1"/>
    <col min="2" max="2" width="5.77734375" customWidth="1"/>
    <col min="3" max="3" width="22.77734375" style="1" customWidth="1"/>
    <col min="4" max="4" width="23.33203125" customWidth="1"/>
    <col min="5" max="5" width="21.77734375" customWidth="1"/>
    <col min="6" max="6" width="10.88671875" customWidth="1"/>
  </cols>
  <sheetData>
    <row r="1" spans="1:6" ht="71.55" customHeight="1" x14ac:dyDescent="0.3">
      <c r="B1" s="96"/>
      <c r="C1" s="97" t="s">
        <v>135</v>
      </c>
      <c r="D1" s="97" t="s">
        <v>136</v>
      </c>
      <c r="E1" s="95"/>
      <c r="F1" s="100"/>
    </row>
    <row r="2" spans="1:6" s="4" customFormat="1" x14ac:dyDescent="0.3">
      <c r="A2" s="4" t="s">
        <v>134</v>
      </c>
      <c r="B2" s="1" t="s">
        <v>38</v>
      </c>
      <c r="C2" s="98">
        <f>C6+C22+45000</f>
        <v>857892.58000000007</v>
      </c>
      <c r="D2" s="98">
        <f>C2-C40</f>
        <v>178564.58000000007</v>
      </c>
      <c r="E2" s="1"/>
      <c r="F2" s="1"/>
    </row>
    <row r="3" spans="1:6" s="4" customFormat="1" ht="15" thickBot="1" x14ac:dyDescent="0.35">
      <c r="A3" s="4" t="s">
        <v>134</v>
      </c>
      <c r="B3" s="1" t="s">
        <v>133</v>
      </c>
      <c r="C3" s="99">
        <f>C2*1.2+45000</f>
        <v>1074471.0959999999</v>
      </c>
      <c r="D3" s="104">
        <f>C3-C40</f>
        <v>395143.0959999999</v>
      </c>
      <c r="E3" s="102" t="s">
        <v>138</v>
      </c>
      <c r="F3" s="10"/>
    </row>
    <row r="4" spans="1:6" s="4" customFormat="1" ht="13.95" customHeight="1" x14ac:dyDescent="0.3">
      <c r="A4"/>
      <c r="C4" s="10"/>
      <c r="E4" s="79"/>
    </row>
    <row r="5" spans="1:6" ht="16.5" customHeight="1" x14ac:dyDescent="0.3">
      <c r="A5" s="4"/>
      <c r="C5" s="10"/>
      <c r="E5" s="48"/>
    </row>
    <row r="6" spans="1:6" s="7" customFormat="1" ht="21.6" thickBot="1" x14ac:dyDescent="0.45">
      <c r="A6" s="6" t="s">
        <v>19</v>
      </c>
      <c r="B6" s="7" t="s">
        <v>38</v>
      </c>
      <c r="C6" s="86">
        <f>C9+C10</f>
        <v>676800</v>
      </c>
    </row>
    <row r="7" spans="1:6" ht="15" hidden="1" thickBot="1" x14ac:dyDescent="0.35">
      <c r="A7" s="26" t="s">
        <v>70</v>
      </c>
      <c r="B7" s="27"/>
      <c r="C7" s="28">
        <f>635000</f>
        <v>635000</v>
      </c>
      <c r="E7" t="s">
        <v>37</v>
      </c>
    </row>
    <row r="8" spans="1:6" ht="15" hidden="1" thickBot="1" x14ac:dyDescent="0.35">
      <c r="A8" s="19"/>
      <c r="B8" t="s">
        <v>61</v>
      </c>
      <c r="C8" s="1">
        <f>B9*C7</f>
        <v>0</v>
      </c>
    </row>
    <row r="9" spans="1:6" ht="15" thickBot="1" x14ac:dyDescent="0.35">
      <c r="A9" s="87" t="s">
        <v>150</v>
      </c>
      <c r="B9" s="88"/>
      <c r="C9" s="89">
        <v>606500</v>
      </c>
      <c r="D9" s="78"/>
      <c r="E9" s="1"/>
      <c r="F9" s="1"/>
    </row>
    <row r="10" spans="1:6" ht="15" thickBot="1" x14ac:dyDescent="0.35">
      <c r="A10" s="87" t="s">
        <v>8</v>
      </c>
      <c r="B10" s="90"/>
      <c r="C10" s="91">
        <f>C11+C13+C18+C19+C20</f>
        <v>70300</v>
      </c>
    </row>
    <row r="11" spans="1:6" ht="28.8" x14ac:dyDescent="0.3">
      <c r="A11" s="82" t="s">
        <v>9</v>
      </c>
      <c r="C11" s="80">
        <v>41000</v>
      </c>
    </row>
    <row r="12" spans="1:6" ht="28.8" hidden="1" x14ac:dyDescent="0.3">
      <c r="A12" s="82" t="s">
        <v>10</v>
      </c>
      <c r="C12" s="21">
        <v>54000</v>
      </c>
    </row>
    <row r="13" spans="1:6" x14ac:dyDescent="0.3">
      <c r="A13" s="82" t="s">
        <v>11</v>
      </c>
      <c r="C13" s="21">
        <v>9000</v>
      </c>
    </row>
    <row r="14" spans="1:6" hidden="1" x14ac:dyDescent="0.3">
      <c r="A14" s="82" t="s">
        <v>12</v>
      </c>
      <c r="C14" s="21">
        <v>18700</v>
      </c>
    </row>
    <row r="15" spans="1:6" hidden="1" x14ac:dyDescent="0.3">
      <c r="A15" s="82" t="s">
        <v>13</v>
      </c>
      <c r="C15" s="21">
        <v>40000</v>
      </c>
    </row>
    <row r="16" spans="1:6" hidden="1" x14ac:dyDescent="0.3">
      <c r="A16" s="82" t="s">
        <v>14</v>
      </c>
      <c r="C16" s="21">
        <v>8000</v>
      </c>
    </row>
    <row r="17" spans="1:4" hidden="1" x14ac:dyDescent="0.3">
      <c r="A17" s="82" t="s">
        <v>15</v>
      </c>
      <c r="C17" s="21">
        <v>100000</v>
      </c>
    </row>
    <row r="18" spans="1:4" ht="28.8" x14ac:dyDescent="0.3">
      <c r="A18" s="82" t="s">
        <v>16</v>
      </c>
      <c r="C18" s="21">
        <v>12100</v>
      </c>
    </row>
    <row r="19" spans="1:4" x14ac:dyDescent="0.3">
      <c r="A19" s="82" t="s">
        <v>17</v>
      </c>
      <c r="C19" s="21">
        <v>5500</v>
      </c>
    </row>
    <row r="20" spans="1:4" x14ac:dyDescent="0.3">
      <c r="A20" s="83" t="s">
        <v>18</v>
      </c>
      <c r="B20" s="33"/>
      <c r="C20" s="81">
        <v>2700</v>
      </c>
    </row>
    <row r="21" spans="1:4" x14ac:dyDescent="0.3">
      <c r="B21" s="4"/>
    </row>
    <row r="22" spans="1:4" s="7" customFormat="1" ht="21" x14ac:dyDescent="0.4">
      <c r="A22" s="9" t="s">
        <v>20</v>
      </c>
      <c r="B22" s="7" t="s">
        <v>38</v>
      </c>
      <c r="C22" s="86">
        <f>C24+C36</f>
        <v>136092.58000000002</v>
      </c>
    </row>
    <row r="23" spans="1:4" ht="15" thickBot="1" x14ac:dyDescent="0.35"/>
    <row r="24" spans="1:4" ht="15" thickBot="1" x14ac:dyDescent="0.35">
      <c r="A24" s="87" t="s">
        <v>132</v>
      </c>
      <c r="B24" s="90"/>
      <c r="C24" s="89">
        <f>SUM(C25:C34)</f>
        <v>133532.58000000002</v>
      </c>
      <c r="D24" s="1"/>
    </row>
    <row r="25" spans="1:4" x14ac:dyDescent="0.3">
      <c r="A25" s="84" t="s">
        <v>64</v>
      </c>
      <c r="C25" s="21">
        <v>27100</v>
      </c>
    </row>
    <row r="26" spans="1:4" x14ac:dyDescent="0.3">
      <c r="A26" s="84" t="s">
        <v>65</v>
      </c>
      <c r="B26" s="44"/>
      <c r="C26" s="80">
        <v>60500</v>
      </c>
    </row>
    <row r="27" spans="1:4" x14ac:dyDescent="0.3">
      <c r="A27" s="84" t="s">
        <v>66</v>
      </c>
      <c r="C27" s="21">
        <v>3510</v>
      </c>
    </row>
    <row r="28" spans="1:4" x14ac:dyDescent="0.3">
      <c r="A28" s="84" t="s">
        <v>0</v>
      </c>
      <c r="C28" s="21">
        <f>5970+650</f>
        <v>6620</v>
      </c>
    </row>
    <row r="29" spans="1:4" x14ac:dyDescent="0.3">
      <c r="A29" s="84" t="s">
        <v>1</v>
      </c>
      <c r="C29" s="101">
        <v>6850</v>
      </c>
    </row>
    <row r="30" spans="1:4" x14ac:dyDescent="0.3">
      <c r="A30" s="84" t="s">
        <v>129</v>
      </c>
      <c r="C30" s="101">
        <v>1680</v>
      </c>
    </row>
    <row r="31" spans="1:4" x14ac:dyDescent="0.3">
      <c r="A31" s="84" t="s">
        <v>2</v>
      </c>
      <c r="C31" s="101">
        <v>4207.5</v>
      </c>
    </row>
    <row r="32" spans="1:4" x14ac:dyDescent="0.3">
      <c r="A32" s="84" t="s">
        <v>31</v>
      </c>
      <c r="C32" s="21">
        <v>3265.08</v>
      </c>
    </row>
    <row r="33" spans="1:5" x14ac:dyDescent="0.3">
      <c r="A33" s="84" t="s">
        <v>47</v>
      </c>
      <c r="C33" s="21">
        <v>600</v>
      </c>
    </row>
    <row r="34" spans="1:5" x14ac:dyDescent="0.3">
      <c r="A34" s="85" t="s">
        <v>3</v>
      </c>
      <c r="B34" s="33"/>
      <c r="C34" s="81">
        <f>15400+3800</f>
        <v>19200</v>
      </c>
    </row>
    <row r="35" spans="1:5" ht="15" thickBot="1" x14ac:dyDescent="0.35"/>
    <row r="36" spans="1:5" ht="15" thickBot="1" x14ac:dyDescent="0.35">
      <c r="A36" s="87" t="s">
        <v>30</v>
      </c>
      <c r="B36" s="90"/>
      <c r="C36" s="89">
        <f>SUM(C37:C37)</f>
        <v>2560</v>
      </c>
    </row>
    <row r="37" spans="1:5" x14ac:dyDescent="0.3">
      <c r="A37" s="85" t="s">
        <v>32</v>
      </c>
      <c r="B37" s="33"/>
      <c r="C37" s="81">
        <v>2560</v>
      </c>
    </row>
    <row r="38" spans="1:5" ht="10.95" customHeight="1" x14ac:dyDescent="0.3">
      <c r="A38" s="47"/>
    </row>
    <row r="39" spans="1:5" ht="9" customHeight="1" x14ac:dyDescent="0.3"/>
    <row r="40" spans="1:5" s="7" customFormat="1" ht="18" customHeight="1" x14ac:dyDescent="0.4">
      <c r="A40" s="6" t="s">
        <v>21</v>
      </c>
      <c r="B40" s="7" t="s">
        <v>38</v>
      </c>
      <c r="C40" s="86">
        <f>SUM(C42:C57)</f>
        <v>679328</v>
      </c>
    </row>
    <row r="41" spans="1:5" x14ac:dyDescent="0.3">
      <c r="C41"/>
      <c r="D41" s="103" t="s">
        <v>143</v>
      </c>
      <c r="E41" t="s">
        <v>146</v>
      </c>
    </row>
    <row r="42" spans="1:5" x14ac:dyDescent="0.3">
      <c r="A42" s="47" t="s">
        <v>5</v>
      </c>
      <c r="C42" s="92">
        <v>99405</v>
      </c>
      <c r="D42" s="105"/>
      <c r="E42" s="42"/>
    </row>
    <row r="43" spans="1:5" x14ac:dyDescent="0.3">
      <c r="A43" s="47" t="s">
        <v>51</v>
      </c>
      <c r="C43" s="92">
        <v>60450</v>
      </c>
      <c r="D43" s="105"/>
      <c r="E43" s="42"/>
    </row>
    <row r="44" spans="1:5" x14ac:dyDescent="0.3">
      <c r="A44" s="47" t="s">
        <v>25</v>
      </c>
      <c r="C44" s="1">
        <f>0.3*C9</f>
        <v>181950</v>
      </c>
      <c r="D44" s="105" t="s">
        <v>144</v>
      </c>
      <c r="E44" s="42" t="s">
        <v>147</v>
      </c>
    </row>
    <row r="45" spans="1:5" x14ac:dyDescent="0.3">
      <c r="A45" s="47" t="s">
        <v>58</v>
      </c>
      <c r="C45" s="1">
        <f>C9*0.3</f>
        <v>181950</v>
      </c>
      <c r="D45" s="105" t="s">
        <v>144</v>
      </c>
      <c r="E45" s="42" t="s">
        <v>148</v>
      </c>
    </row>
    <row r="46" spans="1:5" x14ac:dyDescent="0.3">
      <c r="A46" s="47" t="s">
        <v>4</v>
      </c>
      <c r="C46" s="92">
        <f>0.8*$C$27+0.65*$C$25+13950</f>
        <v>34373</v>
      </c>
      <c r="D46" s="105" t="s">
        <v>149</v>
      </c>
      <c r="E46" s="42"/>
    </row>
    <row r="47" spans="1:5" hidden="1" x14ac:dyDescent="0.3">
      <c r="A47" s="47" t="s">
        <v>55</v>
      </c>
      <c r="C47" s="93"/>
      <c r="D47" s="105"/>
      <c r="E47" s="42"/>
    </row>
    <row r="48" spans="1:5" x14ac:dyDescent="0.3">
      <c r="A48" s="47" t="s">
        <v>3</v>
      </c>
      <c r="C48" s="92">
        <v>25000</v>
      </c>
      <c r="D48" s="105"/>
      <c r="E48" s="42"/>
    </row>
    <row r="49" spans="1:5" x14ac:dyDescent="0.3">
      <c r="A49" s="47" t="s">
        <v>26</v>
      </c>
      <c r="C49" s="94">
        <f>0.1*C9</f>
        <v>60650</v>
      </c>
      <c r="D49" s="105" t="s">
        <v>145</v>
      </c>
      <c r="E49" s="42"/>
    </row>
    <row r="50" spans="1:5" x14ac:dyDescent="0.3">
      <c r="A50" s="47" t="s">
        <v>68</v>
      </c>
      <c r="C50" s="92">
        <v>14700</v>
      </c>
      <c r="D50" s="105"/>
      <c r="E50" s="42"/>
    </row>
    <row r="51" spans="1:5" x14ac:dyDescent="0.3">
      <c r="A51" s="47" t="s">
        <v>49</v>
      </c>
      <c r="C51" s="1">
        <f>0.3*69500</f>
        <v>20850</v>
      </c>
      <c r="D51" s="105"/>
      <c r="E51" s="42"/>
    </row>
    <row r="52" spans="1:5" x14ac:dyDescent="0.3">
      <c r="A52" s="47" t="s">
        <v>119</v>
      </c>
      <c r="D52" s="105"/>
      <c r="E52" s="42"/>
    </row>
    <row r="53" spans="1:5" x14ac:dyDescent="0.3">
      <c r="A53" s="47" t="s">
        <v>121</v>
      </c>
      <c r="D53" s="105"/>
      <c r="E53" s="42"/>
    </row>
    <row r="54" spans="1:5" x14ac:dyDescent="0.3">
      <c r="A54" s="47" t="s">
        <v>137</v>
      </c>
      <c r="D54" s="105"/>
      <c r="E54" s="42"/>
    </row>
    <row r="55" spans="1:5" x14ac:dyDescent="0.3">
      <c r="A55" s="47" t="s">
        <v>139</v>
      </c>
      <c r="D55" s="105"/>
      <c r="E55" s="42"/>
    </row>
    <row r="56" spans="1:5" x14ac:dyDescent="0.3">
      <c r="A56" s="47" t="s">
        <v>140</v>
      </c>
      <c r="D56" s="105"/>
      <c r="E56" s="42"/>
    </row>
    <row r="57" spans="1:5" x14ac:dyDescent="0.3">
      <c r="A57" s="47" t="s">
        <v>141</v>
      </c>
      <c r="D57" s="105"/>
      <c r="E57" s="42"/>
    </row>
    <row r="58" spans="1:5" x14ac:dyDescent="0.3">
      <c r="A58" s="47" t="s">
        <v>142</v>
      </c>
      <c r="D58" s="105"/>
      <c r="E58" s="42"/>
    </row>
    <row r="60" spans="1:5" hidden="1" x14ac:dyDescent="0.3">
      <c r="D60" t="s">
        <v>103</v>
      </c>
    </row>
    <row r="62" spans="1:5" x14ac:dyDescent="0.3">
      <c r="D62" s="1"/>
    </row>
    <row r="65" spans="1:4" x14ac:dyDescent="0.3">
      <c r="A65" s="55"/>
    </row>
    <row r="66" spans="1:4" ht="48.45" customHeight="1" x14ac:dyDescent="0.3">
      <c r="D66" s="10"/>
    </row>
    <row r="72" spans="1:4" x14ac:dyDescent="0.3">
      <c r="A72" s="45"/>
    </row>
    <row r="73" spans="1:4" x14ac:dyDescent="0.3">
      <c r="A73" s="45"/>
    </row>
    <row r="74" spans="1:4" x14ac:dyDescent="0.3">
      <c r="A74" s="45"/>
    </row>
    <row r="75" spans="1:4" x14ac:dyDescent="0.3">
      <c r="A75" s="45"/>
    </row>
    <row r="76" spans="1:4" x14ac:dyDescent="0.3">
      <c r="A76" s="45"/>
    </row>
  </sheetData>
  <pageMargins left="0.25" right="0.25" top="0.75" bottom="0.75" header="0.3" footer="0.3"/>
  <pageSetup paperSize="9" scale="39"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ADDA9-BD1E-4617-8A04-8871BF76CF23}">
  <sheetPr>
    <tabColor theme="5" tint="0.59999389629810485"/>
    <pageSetUpPr fitToPage="1"/>
  </sheetPr>
  <dimension ref="A1:F76"/>
  <sheetViews>
    <sheetView zoomScale="115" zoomScaleNormal="115" workbookViewId="0">
      <selection activeCell="A29" sqref="A29:XFD31"/>
    </sheetView>
  </sheetViews>
  <sheetFormatPr baseColWidth="10" defaultRowHeight="14.4" x14ac:dyDescent="0.3"/>
  <cols>
    <col min="1" max="1" width="47.77734375" customWidth="1"/>
    <col min="2" max="2" width="5.77734375" customWidth="1"/>
    <col min="3" max="3" width="22.77734375" style="1" customWidth="1"/>
    <col min="4" max="4" width="23.33203125" customWidth="1"/>
    <col min="5" max="5" width="21.77734375" customWidth="1"/>
    <col min="6" max="6" width="10.88671875" customWidth="1"/>
  </cols>
  <sheetData>
    <row r="1" spans="1:6" ht="71.55" customHeight="1" x14ac:dyDescent="0.3">
      <c r="B1" s="96"/>
      <c r="C1" s="97" t="s">
        <v>135</v>
      </c>
      <c r="D1" s="97" t="s">
        <v>136</v>
      </c>
      <c r="E1" s="95"/>
      <c r="F1" s="100"/>
    </row>
    <row r="2" spans="1:6" s="4" customFormat="1" x14ac:dyDescent="0.3">
      <c r="A2" s="4" t="s">
        <v>134</v>
      </c>
      <c r="B2" s="1" t="s">
        <v>38</v>
      </c>
      <c r="C2" s="98">
        <f>C6+C22+45000</f>
        <v>957892.58000000007</v>
      </c>
      <c r="D2" s="98">
        <f>C2-C40</f>
        <v>208564.58000000007</v>
      </c>
      <c r="E2" s="1"/>
      <c r="F2" s="1"/>
    </row>
    <row r="3" spans="1:6" s="4" customFormat="1" ht="15" thickBot="1" x14ac:dyDescent="0.35">
      <c r="A3" s="4" t="s">
        <v>134</v>
      </c>
      <c r="B3" s="1" t="s">
        <v>133</v>
      </c>
      <c r="C3" s="99">
        <f>C2*1.2+45000</f>
        <v>1194471.0960000001</v>
      </c>
      <c r="D3" s="104">
        <f>C3-C40</f>
        <v>445143.09600000014</v>
      </c>
      <c r="E3" s="102" t="s">
        <v>138</v>
      </c>
      <c r="F3" s="10"/>
    </row>
    <row r="4" spans="1:6" s="4" customFormat="1" ht="13.95" customHeight="1" x14ac:dyDescent="0.3">
      <c r="A4"/>
      <c r="C4" s="10"/>
      <c r="E4" s="79"/>
    </row>
    <row r="5" spans="1:6" ht="16.5" customHeight="1" x14ac:dyDescent="0.3">
      <c r="A5" s="4"/>
      <c r="C5" s="10"/>
      <c r="E5" s="48"/>
    </row>
    <row r="6" spans="1:6" s="7" customFormat="1" ht="21.6" thickBot="1" x14ac:dyDescent="0.45">
      <c r="A6" s="6" t="s">
        <v>19</v>
      </c>
      <c r="B6" s="7" t="s">
        <v>38</v>
      </c>
      <c r="C6" s="86">
        <f>C9+C10</f>
        <v>776800</v>
      </c>
    </row>
    <row r="7" spans="1:6" ht="15" hidden="1" thickBot="1" x14ac:dyDescent="0.35">
      <c r="A7" s="26" t="s">
        <v>70</v>
      </c>
      <c r="B7" s="27"/>
      <c r="C7" s="28">
        <f>635000</f>
        <v>635000</v>
      </c>
      <c r="E7" t="s">
        <v>37</v>
      </c>
    </row>
    <row r="8" spans="1:6" ht="15" hidden="1" thickBot="1" x14ac:dyDescent="0.35">
      <c r="A8" s="19"/>
      <c r="B8" t="s">
        <v>61</v>
      </c>
      <c r="C8" s="1">
        <f>B9*C7</f>
        <v>0</v>
      </c>
    </row>
    <row r="9" spans="1:6" ht="15" thickBot="1" x14ac:dyDescent="0.35">
      <c r="A9" s="87" t="s">
        <v>95</v>
      </c>
      <c r="B9" s="88"/>
      <c r="C9" s="89">
        <v>706500</v>
      </c>
      <c r="E9" s="1"/>
      <c r="F9" s="1"/>
    </row>
    <row r="10" spans="1:6" ht="15" thickBot="1" x14ac:dyDescent="0.35">
      <c r="A10" s="87" t="s">
        <v>8</v>
      </c>
      <c r="B10" s="90"/>
      <c r="C10" s="91">
        <f>C11+C13+C18+C19+C20</f>
        <v>70300</v>
      </c>
    </row>
    <row r="11" spans="1:6" ht="28.8" x14ac:dyDescent="0.3">
      <c r="A11" s="82" t="s">
        <v>9</v>
      </c>
      <c r="C11" s="80">
        <v>41000</v>
      </c>
    </row>
    <row r="12" spans="1:6" ht="28.8" hidden="1" x14ac:dyDescent="0.3">
      <c r="A12" s="82" t="s">
        <v>10</v>
      </c>
      <c r="C12" s="21">
        <v>54000</v>
      </c>
    </row>
    <row r="13" spans="1:6" x14ac:dyDescent="0.3">
      <c r="A13" s="82" t="s">
        <v>11</v>
      </c>
      <c r="C13" s="21">
        <v>9000</v>
      </c>
    </row>
    <row r="14" spans="1:6" hidden="1" x14ac:dyDescent="0.3">
      <c r="A14" s="82" t="s">
        <v>12</v>
      </c>
      <c r="C14" s="21">
        <v>18700</v>
      </c>
    </row>
    <row r="15" spans="1:6" hidden="1" x14ac:dyDescent="0.3">
      <c r="A15" s="82" t="s">
        <v>13</v>
      </c>
      <c r="C15" s="21">
        <v>40000</v>
      </c>
    </row>
    <row r="16" spans="1:6" hidden="1" x14ac:dyDescent="0.3">
      <c r="A16" s="82" t="s">
        <v>14</v>
      </c>
      <c r="C16" s="21">
        <v>8000</v>
      </c>
    </row>
    <row r="17" spans="1:4" hidden="1" x14ac:dyDescent="0.3">
      <c r="A17" s="82" t="s">
        <v>15</v>
      </c>
      <c r="C17" s="21">
        <v>100000</v>
      </c>
    </row>
    <row r="18" spans="1:4" ht="28.8" x14ac:dyDescent="0.3">
      <c r="A18" s="82" t="s">
        <v>16</v>
      </c>
      <c r="C18" s="21">
        <v>12100</v>
      </c>
    </row>
    <row r="19" spans="1:4" x14ac:dyDescent="0.3">
      <c r="A19" s="82" t="s">
        <v>17</v>
      </c>
      <c r="C19" s="21">
        <v>5500</v>
      </c>
    </row>
    <row r="20" spans="1:4" x14ac:dyDescent="0.3">
      <c r="A20" s="83" t="s">
        <v>18</v>
      </c>
      <c r="B20" s="33"/>
      <c r="C20" s="81">
        <v>2700</v>
      </c>
    </row>
    <row r="21" spans="1:4" x14ac:dyDescent="0.3">
      <c r="B21" s="4"/>
    </row>
    <row r="22" spans="1:4" s="7" customFormat="1" ht="21" x14ac:dyDescent="0.4">
      <c r="A22" s="9" t="s">
        <v>20</v>
      </c>
      <c r="B22" s="7" t="s">
        <v>38</v>
      </c>
      <c r="C22" s="86">
        <f>C24+C36</f>
        <v>136092.58000000002</v>
      </c>
    </row>
    <row r="23" spans="1:4" ht="15" thickBot="1" x14ac:dyDescent="0.35"/>
    <row r="24" spans="1:4" ht="15" thickBot="1" x14ac:dyDescent="0.35">
      <c r="A24" s="87" t="s">
        <v>132</v>
      </c>
      <c r="B24" s="90"/>
      <c r="C24" s="89">
        <f>SUM(C25:C34)</f>
        <v>133532.58000000002</v>
      </c>
      <c r="D24" s="1"/>
    </row>
    <row r="25" spans="1:4" x14ac:dyDescent="0.3">
      <c r="A25" s="84" t="s">
        <v>64</v>
      </c>
      <c r="C25" s="21">
        <v>27100</v>
      </c>
    </row>
    <row r="26" spans="1:4" x14ac:dyDescent="0.3">
      <c r="A26" s="84" t="s">
        <v>65</v>
      </c>
      <c r="B26" s="44"/>
      <c r="C26" s="80">
        <v>60500</v>
      </c>
    </row>
    <row r="27" spans="1:4" x14ac:dyDescent="0.3">
      <c r="A27" s="84" t="s">
        <v>66</v>
      </c>
      <c r="C27" s="21">
        <v>3510</v>
      </c>
    </row>
    <row r="28" spans="1:4" x14ac:dyDescent="0.3">
      <c r="A28" s="84" t="s">
        <v>0</v>
      </c>
      <c r="C28" s="21">
        <f>5970+650</f>
        <v>6620</v>
      </c>
    </row>
    <row r="29" spans="1:4" x14ac:dyDescent="0.3">
      <c r="A29" s="84" t="s">
        <v>1</v>
      </c>
      <c r="C29" s="101">
        <v>6850</v>
      </c>
    </row>
    <row r="30" spans="1:4" x14ac:dyDescent="0.3">
      <c r="A30" s="84" t="s">
        <v>129</v>
      </c>
      <c r="C30" s="101">
        <v>1680</v>
      </c>
    </row>
    <row r="31" spans="1:4" x14ac:dyDescent="0.3">
      <c r="A31" s="84" t="s">
        <v>2</v>
      </c>
      <c r="C31" s="101">
        <v>4207.5</v>
      </c>
    </row>
    <row r="32" spans="1:4" x14ac:dyDescent="0.3">
      <c r="A32" s="84" t="s">
        <v>31</v>
      </c>
      <c r="C32" s="21">
        <v>3265.08</v>
      </c>
    </row>
    <row r="33" spans="1:5" x14ac:dyDescent="0.3">
      <c r="A33" s="84" t="s">
        <v>47</v>
      </c>
      <c r="C33" s="21">
        <v>600</v>
      </c>
    </row>
    <row r="34" spans="1:5" x14ac:dyDescent="0.3">
      <c r="A34" s="85" t="s">
        <v>3</v>
      </c>
      <c r="B34" s="33"/>
      <c r="C34" s="81">
        <f>15400+3800</f>
        <v>19200</v>
      </c>
    </row>
    <row r="35" spans="1:5" ht="15" thickBot="1" x14ac:dyDescent="0.35"/>
    <row r="36" spans="1:5" ht="15" thickBot="1" x14ac:dyDescent="0.35">
      <c r="A36" s="87" t="s">
        <v>30</v>
      </c>
      <c r="B36" s="90"/>
      <c r="C36" s="89">
        <f>SUM(C37:C37)</f>
        <v>2560</v>
      </c>
    </row>
    <row r="37" spans="1:5" x14ac:dyDescent="0.3">
      <c r="A37" s="85" t="s">
        <v>32</v>
      </c>
      <c r="B37" s="33"/>
      <c r="C37" s="81">
        <v>2560</v>
      </c>
    </row>
    <row r="38" spans="1:5" ht="10.95" customHeight="1" x14ac:dyDescent="0.3">
      <c r="A38" s="47"/>
    </row>
    <row r="39" spans="1:5" ht="9" customHeight="1" x14ac:dyDescent="0.3"/>
    <row r="40" spans="1:5" s="7" customFormat="1" ht="18" customHeight="1" x14ac:dyDescent="0.4">
      <c r="A40" s="6" t="s">
        <v>21</v>
      </c>
      <c r="B40" s="7" t="s">
        <v>38</v>
      </c>
      <c r="C40" s="86">
        <f>SUM(C42:C57)</f>
        <v>749328</v>
      </c>
    </row>
    <row r="41" spans="1:5" x14ac:dyDescent="0.3">
      <c r="C41"/>
      <c r="D41" s="103" t="s">
        <v>143</v>
      </c>
      <c r="E41" t="s">
        <v>146</v>
      </c>
    </row>
    <row r="42" spans="1:5" x14ac:dyDescent="0.3">
      <c r="A42" s="47" t="s">
        <v>5</v>
      </c>
      <c r="C42" s="92">
        <v>99405</v>
      </c>
      <c r="D42" s="105"/>
      <c r="E42" s="42"/>
    </row>
    <row r="43" spans="1:5" x14ac:dyDescent="0.3">
      <c r="A43" s="47" t="s">
        <v>51</v>
      </c>
      <c r="C43" s="92">
        <v>60450</v>
      </c>
      <c r="D43" s="105"/>
      <c r="E43" s="42"/>
    </row>
    <row r="44" spans="1:5" x14ac:dyDescent="0.3">
      <c r="A44" s="47" t="s">
        <v>25</v>
      </c>
      <c r="C44" s="1">
        <f>0.3*C9</f>
        <v>211950</v>
      </c>
      <c r="D44" s="105" t="s">
        <v>144</v>
      </c>
      <c r="E44" s="42" t="s">
        <v>147</v>
      </c>
    </row>
    <row r="45" spans="1:5" x14ac:dyDescent="0.3">
      <c r="A45" s="47" t="s">
        <v>58</v>
      </c>
      <c r="C45" s="1">
        <f>C9*0.3</f>
        <v>211950</v>
      </c>
      <c r="D45" s="105" t="s">
        <v>144</v>
      </c>
      <c r="E45" s="42" t="s">
        <v>148</v>
      </c>
    </row>
    <row r="46" spans="1:5" x14ac:dyDescent="0.3">
      <c r="A46" s="47" t="s">
        <v>4</v>
      </c>
      <c r="C46" s="92">
        <f>0.8*$C$27+0.65*$C$25+13950</f>
        <v>34373</v>
      </c>
      <c r="D46" s="105" t="s">
        <v>149</v>
      </c>
      <c r="E46" s="42"/>
    </row>
    <row r="47" spans="1:5" hidden="1" x14ac:dyDescent="0.3">
      <c r="A47" s="47" t="s">
        <v>55</v>
      </c>
      <c r="C47" s="93"/>
      <c r="D47" s="105"/>
      <c r="E47" s="42"/>
    </row>
    <row r="48" spans="1:5" x14ac:dyDescent="0.3">
      <c r="A48" s="47" t="s">
        <v>3</v>
      </c>
      <c r="C48" s="92">
        <v>25000</v>
      </c>
      <c r="D48" s="105"/>
      <c r="E48" s="42"/>
    </row>
    <row r="49" spans="1:5" x14ac:dyDescent="0.3">
      <c r="A49" s="47" t="s">
        <v>26</v>
      </c>
      <c r="C49" s="94">
        <f>0.1*C9</f>
        <v>70650</v>
      </c>
      <c r="D49" s="105" t="s">
        <v>145</v>
      </c>
      <c r="E49" s="42"/>
    </row>
    <row r="50" spans="1:5" x14ac:dyDescent="0.3">
      <c r="A50" s="47" t="s">
        <v>68</v>
      </c>
      <c r="C50" s="92">
        <v>14700</v>
      </c>
      <c r="D50" s="105"/>
      <c r="E50" s="42"/>
    </row>
    <row r="51" spans="1:5" x14ac:dyDescent="0.3">
      <c r="A51" s="47" t="s">
        <v>49</v>
      </c>
      <c r="C51" s="1">
        <f>0.3*69500</f>
        <v>20850</v>
      </c>
      <c r="D51" s="105"/>
      <c r="E51" s="42"/>
    </row>
    <row r="52" spans="1:5" x14ac:dyDescent="0.3">
      <c r="A52" s="47" t="s">
        <v>119</v>
      </c>
      <c r="D52" s="105"/>
      <c r="E52" s="42"/>
    </row>
    <row r="53" spans="1:5" x14ac:dyDescent="0.3">
      <c r="A53" s="47" t="s">
        <v>121</v>
      </c>
      <c r="D53" s="105"/>
      <c r="E53" s="42"/>
    </row>
    <row r="54" spans="1:5" x14ac:dyDescent="0.3">
      <c r="A54" s="47" t="s">
        <v>137</v>
      </c>
      <c r="D54" s="105"/>
      <c r="E54" s="42"/>
    </row>
    <row r="55" spans="1:5" x14ac:dyDescent="0.3">
      <c r="A55" s="47" t="s">
        <v>139</v>
      </c>
      <c r="D55" s="105"/>
      <c r="E55" s="42"/>
    </row>
    <row r="56" spans="1:5" x14ac:dyDescent="0.3">
      <c r="A56" s="47" t="s">
        <v>140</v>
      </c>
      <c r="D56" s="105"/>
      <c r="E56" s="42"/>
    </row>
    <row r="57" spans="1:5" x14ac:dyDescent="0.3">
      <c r="A57" s="47" t="s">
        <v>141</v>
      </c>
      <c r="D57" s="105"/>
      <c r="E57" s="42"/>
    </row>
    <row r="58" spans="1:5" x14ac:dyDescent="0.3">
      <c r="A58" s="47" t="s">
        <v>142</v>
      </c>
      <c r="D58" s="105"/>
      <c r="E58" s="42"/>
    </row>
    <row r="60" spans="1:5" hidden="1" x14ac:dyDescent="0.3">
      <c r="D60" t="s">
        <v>103</v>
      </c>
    </row>
    <row r="62" spans="1:5" x14ac:dyDescent="0.3">
      <c r="D62" s="1"/>
    </row>
    <row r="65" spans="1:4" x14ac:dyDescent="0.3">
      <c r="A65" s="55"/>
    </row>
    <row r="66" spans="1:4" ht="48.45" customHeight="1" x14ac:dyDescent="0.3">
      <c r="D66" s="10"/>
    </row>
    <row r="72" spans="1:4" x14ac:dyDescent="0.3">
      <c r="A72" s="45"/>
    </row>
    <row r="73" spans="1:4" x14ac:dyDescent="0.3">
      <c r="A73" s="45"/>
    </row>
    <row r="74" spans="1:4" x14ac:dyDescent="0.3">
      <c r="A74" s="45"/>
    </row>
    <row r="75" spans="1:4" x14ac:dyDescent="0.3">
      <c r="A75" s="45"/>
    </row>
    <row r="76" spans="1:4" x14ac:dyDescent="0.3">
      <c r="A76" s="45"/>
    </row>
  </sheetData>
  <pageMargins left="0.25" right="0.25" top="0.75" bottom="0.75" header="0.3" footer="0.3"/>
  <pageSetup paperSize="9" scale="39" fitToHeight="0"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F5C9-3F3B-4262-8D60-38A7460DB18D}">
  <sheetPr>
    <tabColor theme="5"/>
    <pageSetUpPr fitToPage="1"/>
  </sheetPr>
  <dimension ref="A1:K92"/>
  <sheetViews>
    <sheetView tabSelected="1" topLeftCell="A51" zoomScale="85" zoomScaleNormal="85" workbookViewId="0">
      <selection activeCell="F75" sqref="F75"/>
    </sheetView>
  </sheetViews>
  <sheetFormatPr baseColWidth="10" defaultRowHeight="14.4" x14ac:dyDescent="0.3"/>
  <cols>
    <col min="1" max="1" width="64.109375" customWidth="1"/>
    <col min="2" max="2" width="5.21875" customWidth="1"/>
    <col min="3" max="3" width="20.109375" style="1" bestFit="1" customWidth="1"/>
    <col min="4" max="4" width="15.6640625" customWidth="1"/>
    <col min="5" max="5" width="15.5546875" bestFit="1" customWidth="1"/>
    <col min="6" max="6" width="17.77734375" customWidth="1"/>
    <col min="7" max="7" width="21.77734375" customWidth="1"/>
    <col min="8" max="8" width="28.21875" customWidth="1"/>
    <col min="9" max="9" width="14.77734375" customWidth="1"/>
    <col min="10" max="10" width="14.5546875" customWidth="1"/>
    <col min="11" max="11" width="14.44140625" customWidth="1"/>
  </cols>
  <sheetData>
    <row r="1" spans="1:11" ht="71.55" customHeight="1" x14ac:dyDescent="0.3">
      <c r="C1" s="1" t="s">
        <v>38</v>
      </c>
      <c r="E1" s="1" t="s">
        <v>36</v>
      </c>
      <c r="F1" s="2" t="s">
        <v>120</v>
      </c>
      <c r="G1" s="2" t="s">
        <v>128</v>
      </c>
      <c r="I1" s="57" t="s">
        <v>112</v>
      </c>
      <c r="J1" s="58" t="s">
        <v>113</v>
      </c>
      <c r="K1" s="59" t="s">
        <v>109</v>
      </c>
    </row>
    <row r="2" spans="1:11" s="4" customFormat="1" x14ac:dyDescent="0.3">
      <c r="A2" s="4" t="s">
        <v>111</v>
      </c>
      <c r="C2" s="10">
        <f>E32+E54</f>
        <v>1140842.58</v>
      </c>
      <c r="E2" s="1">
        <f>C2</f>
        <v>1140842.58</v>
      </c>
      <c r="F2" s="1">
        <f>E54+F32</f>
        <v>974142.58000000007</v>
      </c>
      <c r="G2" s="1">
        <f>G32+G54</f>
        <v>912892.58000000007</v>
      </c>
      <c r="H2" s="10"/>
      <c r="I2" s="43"/>
      <c r="J2"/>
      <c r="K2" s="21"/>
    </row>
    <row r="3" spans="1:11" s="4" customFormat="1" x14ac:dyDescent="0.3">
      <c r="A3" t="s">
        <v>59</v>
      </c>
      <c r="C3" s="10"/>
      <c r="E3" s="125">
        <f>C72</f>
        <v>516528</v>
      </c>
      <c r="F3" s="125"/>
      <c r="G3" s="125"/>
      <c r="I3" s="43"/>
      <c r="J3"/>
      <c r="K3" s="21"/>
    </row>
    <row r="4" spans="1:11" s="4" customFormat="1" x14ac:dyDescent="0.3">
      <c r="A4" t="s">
        <v>60</v>
      </c>
      <c r="C4" s="10"/>
      <c r="E4" s="126">
        <f>D72</f>
        <v>605878</v>
      </c>
      <c r="F4" s="127"/>
      <c r="G4" s="127"/>
      <c r="H4" s="4" t="s">
        <v>131</v>
      </c>
      <c r="I4" s="60">
        <f>0.8*C16</f>
        <v>565200</v>
      </c>
      <c r="J4" s="10">
        <f>K4-I4</f>
        <v>282600</v>
      </c>
      <c r="K4" s="21">
        <f>C16+0.2*C16</f>
        <v>847800</v>
      </c>
    </row>
    <row r="5" spans="1:11" x14ac:dyDescent="0.3">
      <c r="H5" s="78">
        <v>45000</v>
      </c>
      <c r="I5" s="75">
        <f>0.8*F32</f>
        <v>664640</v>
      </c>
      <c r="J5" s="10">
        <f>K4-I5</f>
        <v>183160</v>
      </c>
      <c r="K5" s="61"/>
    </row>
    <row r="6" spans="1:11" ht="15" thickBot="1" x14ac:dyDescent="0.35">
      <c r="I6" s="75"/>
      <c r="J6" s="10"/>
      <c r="K6" s="61"/>
    </row>
    <row r="7" spans="1:11" ht="15" thickBot="1" x14ac:dyDescent="0.35">
      <c r="A7" t="s">
        <v>62</v>
      </c>
      <c r="C7" s="10"/>
      <c r="E7" s="70">
        <f>$E$2-E3</f>
        <v>624314.58000000007</v>
      </c>
      <c r="F7" s="71">
        <f>$F$2-E3</f>
        <v>457614.58000000007</v>
      </c>
      <c r="G7" s="72">
        <f>G2-E3</f>
        <v>396364.58000000007</v>
      </c>
      <c r="H7" s="1">
        <f>G7+$H$5</f>
        <v>441364.58000000007</v>
      </c>
      <c r="I7" s="15"/>
      <c r="K7" s="61"/>
    </row>
    <row r="8" spans="1:11" ht="15" thickBot="1" x14ac:dyDescent="0.35">
      <c r="A8" t="s">
        <v>101</v>
      </c>
      <c r="C8" s="10"/>
      <c r="E8" s="73">
        <f>$E$2-E4</f>
        <v>534964.58000000007</v>
      </c>
      <c r="F8" s="10">
        <f>$F$2-E4</f>
        <v>368264.58000000007</v>
      </c>
      <c r="G8" s="74">
        <f>$G$2-E4</f>
        <v>307014.58000000007</v>
      </c>
      <c r="H8" s="1">
        <f t="shared" ref="H8:H11" si="0">G8+$H$5</f>
        <v>352014.58000000007</v>
      </c>
      <c r="I8" s="128" t="s">
        <v>107</v>
      </c>
      <c r="J8" s="129"/>
      <c r="K8" s="61"/>
    </row>
    <row r="9" spans="1:11" ht="15" thickBot="1" x14ac:dyDescent="0.35">
      <c r="A9" s="4" t="s">
        <v>73</v>
      </c>
      <c r="C9" s="10"/>
      <c r="E9" s="35">
        <f t="shared" ref="E9:G10" si="1">E7*0.2+E7</f>
        <v>749177.49600000004</v>
      </c>
      <c r="F9" s="37">
        <f t="shared" si="1"/>
        <v>549137.49600000004</v>
      </c>
      <c r="G9" s="36">
        <f t="shared" si="1"/>
        <v>475637.4960000001</v>
      </c>
      <c r="H9" s="1">
        <f t="shared" si="0"/>
        <v>520637.4960000001</v>
      </c>
      <c r="I9" s="130"/>
      <c r="J9" s="131"/>
      <c r="K9" s="61"/>
    </row>
    <row r="10" spans="1:11" ht="15" thickBot="1" x14ac:dyDescent="0.35">
      <c r="A10" s="4" t="s">
        <v>102</v>
      </c>
      <c r="C10" s="10"/>
      <c r="E10" s="35">
        <f t="shared" si="1"/>
        <v>641957.49600000004</v>
      </c>
      <c r="F10" s="36">
        <f t="shared" si="1"/>
        <v>441917.4960000001</v>
      </c>
      <c r="G10" s="34">
        <f t="shared" si="1"/>
        <v>368417.4960000001</v>
      </c>
      <c r="H10" s="1">
        <f t="shared" si="0"/>
        <v>413417.4960000001</v>
      </c>
      <c r="I10" s="132" t="s">
        <v>105</v>
      </c>
      <c r="J10" s="133"/>
      <c r="K10" s="62"/>
    </row>
    <row r="11" spans="1:11" ht="32.549999999999997" customHeight="1" thickBot="1" x14ac:dyDescent="0.35">
      <c r="A11" s="4" t="s">
        <v>104</v>
      </c>
      <c r="C11" s="10"/>
      <c r="E11" s="35">
        <f>E10+31000+(31000*0.2)</f>
        <v>679157.49600000004</v>
      </c>
      <c r="F11" s="68">
        <f>F10+31000++(31000*0.2)</f>
        <v>479117.4960000001</v>
      </c>
      <c r="G11" s="69">
        <f>G10+31000+(31000*0.2)</f>
        <v>405617.4960000001</v>
      </c>
      <c r="H11" s="1">
        <f t="shared" si="0"/>
        <v>450617.4960000001</v>
      </c>
    </row>
    <row r="12" spans="1:11" ht="10.95" customHeight="1" x14ac:dyDescent="0.3">
      <c r="A12" s="4"/>
      <c r="C12" s="10"/>
      <c r="E12" s="48"/>
      <c r="F12" s="48"/>
      <c r="G12" s="48"/>
    </row>
    <row r="13" spans="1:11" s="7" customFormat="1" x14ac:dyDescent="0.3">
      <c r="A13" s="6" t="s">
        <v>19</v>
      </c>
      <c r="C13" s="8"/>
    </row>
    <row r="14" spans="1:11" hidden="1" x14ac:dyDescent="0.3">
      <c r="A14" s="26" t="s">
        <v>70</v>
      </c>
      <c r="B14" s="27"/>
      <c r="C14" s="28">
        <f>635000</f>
        <v>635000</v>
      </c>
      <c r="E14" t="s">
        <v>37</v>
      </c>
      <c r="F14" t="s">
        <v>37</v>
      </c>
      <c r="G14" t="s">
        <v>37</v>
      </c>
    </row>
    <row r="15" spans="1:11" hidden="1" x14ac:dyDescent="0.3">
      <c r="A15" s="19"/>
      <c r="B15" t="s">
        <v>61</v>
      </c>
      <c r="C15" s="1">
        <f>B16*C14</f>
        <v>0</v>
      </c>
    </row>
    <row r="16" spans="1:11" x14ac:dyDescent="0.3">
      <c r="A16" s="26" t="s">
        <v>95</v>
      </c>
      <c r="B16" s="30"/>
      <c r="C16" s="28">
        <v>706500</v>
      </c>
      <c r="E16" s="1"/>
      <c r="F16" s="1"/>
      <c r="G16" s="1"/>
      <c r="H16" s="1"/>
    </row>
    <row r="17" spans="1:8" x14ac:dyDescent="0.3">
      <c r="A17" s="26" t="s">
        <v>76</v>
      </c>
      <c r="B17" s="30"/>
      <c r="C17" s="28"/>
      <c r="D17" s="1"/>
      <c r="E17" s="1"/>
      <c r="F17" s="1"/>
      <c r="G17" s="1"/>
      <c r="H17" s="1"/>
    </row>
    <row r="18" spans="1:8" ht="9.4499999999999993" customHeight="1" x14ac:dyDescent="0.3">
      <c r="A18" s="43"/>
      <c r="B18" s="44"/>
      <c r="C18" s="10"/>
      <c r="D18" s="1"/>
      <c r="E18" s="1"/>
      <c r="F18" s="1"/>
      <c r="G18" s="1"/>
      <c r="H18" s="1"/>
    </row>
    <row r="19" spans="1:8" x14ac:dyDescent="0.3">
      <c r="A19" s="19" t="s">
        <v>8</v>
      </c>
      <c r="B19" s="14"/>
      <c r="C19" s="20"/>
    </row>
    <row r="20" spans="1:8" ht="28.8" x14ac:dyDescent="0.3">
      <c r="A20" s="22" t="s">
        <v>9</v>
      </c>
      <c r="B20">
        <v>60000</v>
      </c>
      <c r="C20" s="77">
        <v>41000</v>
      </c>
      <c r="E20" t="s">
        <v>37</v>
      </c>
      <c r="F20" t="s">
        <v>37</v>
      </c>
      <c r="G20" t="s">
        <v>37</v>
      </c>
    </row>
    <row r="21" spans="1:8" x14ac:dyDescent="0.3">
      <c r="A21" s="22" t="s">
        <v>10</v>
      </c>
      <c r="C21" s="21">
        <v>54000</v>
      </c>
      <c r="E21" t="s">
        <v>37</v>
      </c>
      <c r="F21" t="s">
        <v>37</v>
      </c>
    </row>
    <row r="22" spans="1:8" x14ac:dyDescent="0.3">
      <c r="A22" s="22" t="s">
        <v>11</v>
      </c>
      <c r="C22" s="21">
        <v>9000</v>
      </c>
      <c r="E22" t="s">
        <v>37</v>
      </c>
      <c r="F22" t="s">
        <v>37</v>
      </c>
      <c r="G22" t="s">
        <v>37</v>
      </c>
    </row>
    <row r="23" spans="1:8" x14ac:dyDescent="0.3">
      <c r="A23" s="22" t="s">
        <v>12</v>
      </c>
      <c r="C23" s="21">
        <v>18700</v>
      </c>
      <c r="E23" t="s">
        <v>37</v>
      </c>
    </row>
    <row r="24" spans="1:8" x14ac:dyDescent="0.3">
      <c r="A24" s="22" t="s">
        <v>13</v>
      </c>
      <c r="C24" s="21">
        <v>40000</v>
      </c>
      <c r="E24" t="s">
        <v>37</v>
      </c>
    </row>
    <row r="25" spans="1:8" x14ac:dyDescent="0.3">
      <c r="A25" s="22" t="s">
        <v>14</v>
      </c>
      <c r="C25" s="21">
        <v>8000</v>
      </c>
      <c r="E25" t="s">
        <v>37</v>
      </c>
    </row>
    <row r="26" spans="1:8" x14ac:dyDescent="0.3">
      <c r="A26" s="22" t="s">
        <v>15</v>
      </c>
      <c r="C26" s="21">
        <v>100000</v>
      </c>
      <c r="E26" t="s">
        <v>37</v>
      </c>
    </row>
    <row r="27" spans="1:8" x14ac:dyDescent="0.3">
      <c r="A27" s="22" t="s">
        <v>16</v>
      </c>
      <c r="C27" s="21">
        <v>12100</v>
      </c>
      <c r="E27" t="s">
        <v>37</v>
      </c>
      <c r="F27" t="s">
        <v>37</v>
      </c>
      <c r="G27" t="s">
        <v>37</v>
      </c>
    </row>
    <row r="28" spans="1:8" x14ac:dyDescent="0.3">
      <c r="A28" s="22" t="s">
        <v>17</v>
      </c>
      <c r="C28" s="21">
        <v>5500</v>
      </c>
      <c r="E28" t="s">
        <v>37</v>
      </c>
      <c r="F28" t="s">
        <v>37</v>
      </c>
      <c r="G28" t="s">
        <v>37</v>
      </c>
    </row>
    <row r="29" spans="1:8" x14ac:dyDescent="0.3">
      <c r="A29" s="22" t="s">
        <v>18</v>
      </c>
      <c r="C29" s="21">
        <v>2700</v>
      </c>
      <c r="E29" t="s">
        <v>37</v>
      </c>
      <c r="F29" t="s">
        <v>37</v>
      </c>
      <c r="G29" t="s">
        <v>37</v>
      </c>
    </row>
    <row r="30" spans="1:8" x14ac:dyDescent="0.3">
      <c r="A30" s="23" t="s">
        <v>40</v>
      </c>
      <c r="B30" s="18"/>
      <c r="C30" s="24">
        <f>SUM(C20:C29)</f>
        <v>291000</v>
      </c>
    </row>
    <row r="31" spans="1:8" x14ac:dyDescent="0.3">
      <c r="A31" s="3"/>
    </row>
    <row r="32" spans="1:8" x14ac:dyDescent="0.3">
      <c r="A32" s="5" t="s">
        <v>96</v>
      </c>
      <c r="B32" s="4"/>
      <c r="E32" s="10">
        <f>C16+C30</f>
        <v>997500</v>
      </c>
      <c r="F32" s="1">
        <f>C20+C21+C22+C27+C28+C29+C16</f>
        <v>830800</v>
      </c>
      <c r="G32" s="67">
        <f>C16+C20+C22+C27+C28+C29</f>
        <v>776800</v>
      </c>
    </row>
    <row r="33" spans="1:7" s="7" customFormat="1" x14ac:dyDescent="0.3">
      <c r="A33" s="9" t="s">
        <v>20</v>
      </c>
      <c r="C33" s="8"/>
    </row>
    <row r="35" spans="1:7" x14ac:dyDescent="0.3">
      <c r="A35" s="13" t="s">
        <v>64</v>
      </c>
      <c r="B35" s="14"/>
      <c r="C35" s="20">
        <v>27100</v>
      </c>
      <c r="E35" t="s">
        <v>37</v>
      </c>
      <c r="F35" t="s">
        <v>37</v>
      </c>
      <c r="G35" t="s">
        <v>37</v>
      </c>
    </row>
    <row r="36" spans="1:7" x14ac:dyDescent="0.3">
      <c r="A36" s="32" t="s">
        <v>65</v>
      </c>
      <c r="B36" s="53"/>
      <c r="C36" s="56">
        <v>60500</v>
      </c>
      <c r="E36" t="s">
        <v>37</v>
      </c>
      <c r="F36" t="s">
        <v>37</v>
      </c>
      <c r="G36" t="s">
        <v>37</v>
      </c>
    </row>
    <row r="37" spans="1:7" x14ac:dyDescent="0.3">
      <c r="A37" s="15" t="s">
        <v>66</v>
      </c>
      <c r="C37" s="21">
        <v>3510</v>
      </c>
      <c r="E37" t="s">
        <v>37</v>
      </c>
      <c r="F37" t="s">
        <v>37</v>
      </c>
      <c r="G37" t="s">
        <v>37</v>
      </c>
    </row>
    <row r="38" spans="1:7" x14ac:dyDescent="0.3">
      <c r="A38" s="13" t="s">
        <v>0</v>
      </c>
      <c r="B38" s="14"/>
      <c r="C38" s="20">
        <f>5970+650</f>
        <v>6620</v>
      </c>
      <c r="D38" s="15"/>
      <c r="E38" t="s">
        <v>37</v>
      </c>
      <c r="F38" t="s">
        <v>37</v>
      </c>
      <c r="G38" t="s">
        <v>37</v>
      </c>
    </row>
    <row r="39" spans="1:7" x14ac:dyDescent="0.3">
      <c r="A39" s="15" t="s">
        <v>1</v>
      </c>
      <c r="C39" s="54">
        <v>6850</v>
      </c>
      <c r="E39" t="s">
        <v>37</v>
      </c>
      <c r="F39" t="s">
        <v>37</v>
      </c>
      <c r="G39" t="s">
        <v>37</v>
      </c>
    </row>
    <row r="40" spans="1:7" x14ac:dyDescent="0.3">
      <c r="A40" s="15" t="s">
        <v>129</v>
      </c>
      <c r="C40" s="54">
        <v>1680</v>
      </c>
      <c r="E40" t="s">
        <v>37</v>
      </c>
      <c r="F40" t="s">
        <v>37</v>
      </c>
      <c r="G40" t="s">
        <v>37</v>
      </c>
    </row>
    <row r="41" spans="1:7" x14ac:dyDescent="0.3">
      <c r="A41" s="15" t="s">
        <v>2</v>
      </c>
      <c r="C41" s="54">
        <v>4207.5</v>
      </c>
      <c r="E41" t="s">
        <v>37</v>
      </c>
      <c r="F41" t="s">
        <v>37</v>
      </c>
      <c r="G41" t="s">
        <v>37</v>
      </c>
    </row>
    <row r="42" spans="1:7" x14ac:dyDescent="0.3">
      <c r="A42" s="15" t="s">
        <v>31</v>
      </c>
      <c r="C42" s="21">
        <v>3265.08</v>
      </c>
      <c r="D42" s="15"/>
      <c r="E42" t="s">
        <v>37</v>
      </c>
      <c r="F42" t="s">
        <v>37</v>
      </c>
      <c r="G42" t="s">
        <v>37</v>
      </c>
    </row>
    <row r="43" spans="1:7" x14ac:dyDescent="0.3">
      <c r="A43" s="15" t="s">
        <v>47</v>
      </c>
      <c r="C43" s="21">
        <v>600</v>
      </c>
      <c r="D43" s="15"/>
      <c r="E43" t="s">
        <v>37</v>
      </c>
      <c r="F43" t="s">
        <v>37</v>
      </c>
      <c r="G43" t="s">
        <v>37</v>
      </c>
    </row>
    <row r="44" spans="1:7" x14ac:dyDescent="0.3">
      <c r="A44" s="15" t="s">
        <v>3</v>
      </c>
      <c r="C44" s="21">
        <v>15400</v>
      </c>
      <c r="E44" t="s">
        <v>37</v>
      </c>
      <c r="F44" t="s">
        <v>37</v>
      </c>
      <c r="G44" t="s">
        <v>37</v>
      </c>
    </row>
    <row r="45" spans="1:7" x14ac:dyDescent="0.3">
      <c r="A45" s="15" t="s">
        <v>24</v>
      </c>
      <c r="C45" s="21">
        <v>3800</v>
      </c>
      <c r="E45" t="s">
        <v>37</v>
      </c>
      <c r="F45" t="s">
        <v>37</v>
      </c>
      <c r="G45" t="s">
        <v>37</v>
      </c>
    </row>
    <row r="46" spans="1:7" x14ac:dyDescent="0.3">
      <c r="A46" s="17" t="s">
        <v>42</v>
      </c>
      <c r="B46" s="18"/>
      <c r="C46" s="24">
        <f>SUM(C35:C45)</f>
        <v>133532.58000000002</v>
      </c>
      <c r="D46" s="75">
        <f>C46*1.2</f>
        <v>160239.09600000002</v>
      </c>
    </row>
    <row r="48" spans="1:7" x14ac:dyDescent="0.3">
      <c r="A48" s="19" t="s">
        <v>30</v>
      </c>
      <c r="B48" s="14"/>
      <c r="C48" s="20"/>
    </row>
    <row r="49" spans="1:7" x14ac:dyDescent="0.3">
      <c r="A49" s="15" t="s">
        <v>32</v>
      </c>
      <c r="C49" s="21">
        <v>2560</v>
      </c>
      <c r="E49" t="s">
        <v>37</v>
      </c>
      <c r="F49" t="s">
        <v>37</v>
      </c>
      <c r="G49" t="s">
        <v>37</v>
      </c>
    </row>
    <row r="50" spans="1:7" ht="45" customHeight="1" x14ac:dyDescent="0.3">
      <c r="A50" s="22" t="s">
        <v>33</v>
      </c>
      <c r="C50" s="21">
        <v>3500</v>
      </c>
      <c r="E50" t="s">
        <v>37</v>
      </c>
      <c r="F50" t="s">
        <v>37</v>
      </c>
    </row>
    <row r="51" spans="1:7" ht="76.05" customHeight="1" x14ac:dyDescent="0.3">
      <c r="A51" s="22" t="s">
        <v>35</v>
      </c>
      <c r="C51" s="21">
        <v>2250</v>
      </c>
      <c r="E51" t="s">
        <v>37</v>
      </c>
      <c r="F51" t="s">
        <v>37</v>
      </c>
    </row>
    <row r="52" spans="1:7" ht="43.2" x14ac:dyDescent="0.3">
      <c r="A52" s="22" t="s">
        <v>34</v>
      </c>
      <c r="C52" s="21">
        <v>1500</v>
      </c>
      <c r="E52" t="s">
        <v>37</v>
      </c>
      <c r="F52" t="s">
        <v>37</v>
      </c>
    </row>
    <row r="53" spans="1:7" x14ac:dyDescent="0.3">
      <c r="A53" s="23" t="s">
        <v>41</v>
      </c>
      <c r="B53" s="18"/>
      <c r="C53" s="24">
        <f>SUM(C49:C52)</f>
        <v>9810</v>
      </c>
    </row>
    <row r="54" spans="1:7" x14ac:dyDescent="0.3">
      <c r="A54" s="4" t="s">
        <v>126</v>
      </c>
      <c r="B54" s="4"/>
      <c r="E54" s="11">
        <f>C46+C53</f>
        <v>143342.58000000002</v>
      </c>
      <c r="F54" s="66">
        <f>C46+C53</f>
        <v>143342.58000000002</v>
      </c>
      <c r="G54" s="1">
        <f>C46+C49</f>
        <v>136092.58000000002</v>
      </c>
    </row>
    <row r="55" spans="1:7" ht="7.05" customHeight="1" x14ac:dyDescent="0.3"/>
    <row r="56" spans="1:7" s="7" customFormat="1" x14ac:dyDescent="0.3">
      <c r="A56" s="6" t="s">
        <v>21</v>
      </c>
      <c r="C56" s="8"/>
    </row>
    <row r="57" spans="1:7" x14ac:dyDescent="0.3">
      <c r="C57" s="1" t="s">
        <v>67</v>
      </c>
      <c r="D57" t="s">
        <v>100</v>
      </c>
      <c r="F57" s="4" t="s">
        <v>77</v>
      </c>
    </row>
    <row r="58" spans="1:7" x14ac:dyDescent="0.3">
      <c r="A58" t="s">
        <v>5</v>
      </c>
      <c r="C58" s="1">
        <v>99405</v>
      </c>
      <c r="D58" s="1">
        <v>99405</v>
      </c>
      <c r="E58" s="1"/>
    </row>
    <row r="59" spans="1:7" x14ac:dyDescent="0.3">
      <c r="A59" t="s">
        <v>51</v>
      </c>
      <c r="C59" s="1">
        <v>60450</v>
      </c>
      <c r="D59" s="1">
        <v>60450</v>
      </c>
      <c r="E59" s="1"/>
      <c r="F59" s="51" t="s">
        <v>71</v>
      </c>
    </row>
    <row r="60" spans="1:7" x14ac:dyDescent="0.3">
      <c r="A60" t="s">
        <v>25</v>
      </c>
      <c r="C60" s="64">
        <f>0.2*C16</f>
        <v>141300</v>
      </c>
      <c r="D60" s="64">
        <f>0.3*C16</f>
        <v>211950</v>
      </c>
      <c r="E60" s="1"/>
      <c r="F60" s="65" t="s">
        <v>125</v>
      </c>
    </row>
    <row r="61" spans="1:7" x14ac:dyDescent="0.3">
      <c r="A61" t="s">
        <v>58</v>
      </c>
      <c r="C61" s="64">
        <f>C16*0.2</f>
        <v>141300</v>
      </c>
      <c r="D61" s="76">
        <v>0</v>
      </c>
      <c r="F61" s="51" t="s">
        <v>56</v>
      </c>
    </row>
    <row r="62" spans="1:7" x14ac:dyDescent="0.3">
      <c r="A62" t="s">
        <v>4</v>
      </c>
      <c r="C62" s="1">
        <f>0.8*$C$37+0.65*$C$35+13950</f>
        <v>34373</v>
      </c>
      <c r="D62" s="1">
        <f>0.8*$C$37+0.65*$C$35+13950</f>
        <v>34373</v>
      </c>
      <c r="F62" s="42" t="s">
        <v>98</v>
      </c>
    </row>
    <row r="63" spans="1:7" hidden="1" x14ac:dyDescent="0.3">
      <c r="A63" t="s">
        <v>55</v>
      </c>
      <c r="F63" s="51" t="s">
        <v>56</v>
      </c>
    </row>
    <row r="64" spans="1:7" x14ac:dyDescent="0.3">
      <c r="A64" t="s">
        <v>3</v>
      </c>
      <c r="C64" s="1">
        <v>25000</v>
      </c>
      <c r="D64" s="1">
        <v>25000</v>
      </c>
      <c r="E64" s="1"/>
      <c r="F64" s="42"/>
    </row>
    <row r="65" spans="1:6" x14ac:dyDescent="0.3">
      <c r="A65" t="s">
        <v>26</v>
      </c>
      <c r="C65" s="64">
        <v>0</v>
      </c>
      <c r="D65" s="76">
        <v>100000</v>
      </c>
      <c r="F65" s="42" t="s">
        <v>123</v>
      </c>
    </row>
    <row r="66" spans="1:6" x14ac:dyDescent="0.3">
      <c r="A66" t="s">
        <v>68</v>
      </c>
      <c r="C66" s="1">
        <f>10000+4700</f>
        <v>14700</v>
      </c>
      <c r="D66" s="1">
        <v>14700</v>
      </c>
      <c r="F66" s="42" t="s">
        <v>110</v>
      </c>
    </row>
    <row r="67" spans="1:6" x14ac:dyDescent="0.3">
      <c r="A67" t="s">
        <v>49</v>
      </c>
      <c r="C67" s="64">
        <v>0</v>
      </c>
      <c r="D67" s="64">
        <v>60000</v>
      </c>
      <c r="E67" s="1"/>
      <c r="F67" s="51" t="s">
        <v>56</v>
      </c>
    </row>
    <row r="68" spans="1:6" x14ac:dyDescent="0.3">
      <c r="A68" t="s">
        <v>119</v>
      </c>
      <c r="C68" s="64">
        <v>0</v>
      </c>
      <c r="D68" s="64">
        <v>0</v>
      </c>
      <c r="E68" s="1"/>
      <c r="F68" s="51" t="s">
        <v>56</v>
      </c>
    </row>
    <row r="69" spans="1:6" x14ac:dyDescent="0.3">
      <c r="A69" t="s">
        <v>117</v>
      </c>
      <c r="C69" s="64">
        <v>0</v>
      </c>
      <c r="D69" s="64">
        <v>0</v>
      </c>
      <c r="E69" s="1"/>
      <c r="F69" s="51" t="s">
        <v>56</v>
      </c>
    </row>
    <row r="70" spans="1:6" x14ac:dyDescent="0.3">
      <c r="A70" t="s">
        <v>121</v>
      </c>
      <c r="C70" s="64">
        <v>0</v>
      </c>
      <c r="D70" s="64">
        <v>0</v>
      </c>
      <c r="E70" s="1"/>
      <c r="F70" s="51" t="s">
        <v>56</v>
      </c>
    </row>
    <row r="71" spans="1:6" ht="15" thickBot="1" x14ac:dyDescent="0.35">
      <c r="A71" s="12" t="s">
        <v>130</v>
      </c>
    </row>
    <row r="72" spans="1:6" ht="15" thickBot="1" x14ac:dyDescent="0.35">
      <c r="A72" s="63" t="s">
        <v>122</v>
      </c>
      <c r="B72" s="39"/>
      <c r="C72" s="35">
        <f>SUM(C58:C70)</f>
        <v>516528</v>
      </c>
      <c r="D72" s="36">
        <f>SUM(D58:D70)</f>
        <v>605878</v>
      </c>
    </row>
    <row r="74" spans="1:6" x14ac:dyDescent="0.3">
      <c r="A74" s="42" t="s">
        <v>127</v>
      </c>
      <c r="B74" s="4"/>
      <c r="C74" s="134" t="s">
        <v>124</v>
      </c>
      <c r="D74" s="134"/>
    </row>
    <row r="75" spans="1:6" x14ac:dyDescent="0.3">
      <c r="E75" s="1"/>
    </row>
    <row r="76" spans="1:6" hidden="1" x14ac:dyDescent="0.3">
      <c r="D76" t="s">
        <v>103</v>
      </c>
    </row>
    <row r="78" spans="1:6" x14ac:dyDescent="0.3">
      <c r="C78" s="1">
        <v>60000</v>
      </c>
      <c r="D78" s="1">
        <f>D59+D64+D66/2</f>
        <v>92800</v>
      </c>
    </row>
    <row r="79" spans="1:6" x14ac:dyDescent="0.3">
      <c r="F79" t="s">
        <v>93</v>
      </c>
    </row>
    <row r="81" spans="1:4" x14ac:dyDescent="0.3">
      <c r="A81" s="55"/>
    </row>
    <row r="82" spans="1:4" ht="48.45" customHeight="1" x14ac:dyDescent="0.3">
      <c r="D82" s="10"/>
    </row>
    <row r="88" spans="1:4" x14ac:dyDescent="0.3">
      <c r="A88" s="45">
        <v>2000000</v>
      </c>
    </row>
    <row r="89" spans="1:4" x14ac:dyDescent="0.3">
      <c r="A89" s="45">
        <f>0.6*A88</f>
        <v>1200000</v>
      </c>
    </row>
    <row r="90" spans="1:4" x14ac:dyDescent="0.3">
      <c r="A90" s="45">
        <f>300000+400000+150000</f>
        <v>850000</v>
      </c>
    </row>
    <row r="91" spans="1:4" x14ac:dyDescent="0.3">
      <c r="A91" s="45">
        <f>A89-A90</f>
        <v>350000</v>
      </c>
    </row>
    <row r="92" spans="1:4" x14ac:dyDescent="0.3">
      <c r="A92" s="45"/>
    </row>
  </sheetData>
  <mergeCells count="5">
    <mergeCell ref="E3:G3"/>
    <mergeCell ref="E4:G4"/>
    <mergeCell ref="I8:J9"/>
    <mergeCell ref="I10:J10"/>
    <mergeCell ref="C74:D74"/>
  </mergeCells>
  <conditionalFormatting sqref="E60">
    <cfRule type="dataBar" priority="5">
      <dataBar>
        <cfvo type="min"/>
        <cfvo type="max"/>
        <color rgb="FFFF555A"/>
      </dataBar>
      <extLst>
        <ext xmlns:x14="http://schemas.microsoft.com/office/spreadsheetml/2009/9/main" uri="{B025F937-C7B1-47D3-B67F-A62EFF666E3E}">
          <x14:id>{949BF884-A14A-40D0-905D-BEABBD9A9172}</x14:id>
        </ext>
      </extLst>
    </cfRule>
  </conditionalFormatting>
  <conditionalFormatting sqref="E7:G11">
    <cfRule type="cellIs" dxfId="11" priority="2" operator="lessThan">
      <formula>400000</formula>
    </cfRule>
  </conditionalFormatting>
  <conditionalFormatting sqref="E20:G29 E44:F45 E49:F52">
    <cfRule type="containsText" dxfId="10" priority="4" operator="containsText" text="x">
      <formula>NOT(ISERROR(SEARCH("x",E20)))</formula>
    </cfRule>
  </conditionalFormatting>
  <conditionalFormatting sqref="E35:G40 F41:G45 E41:E46">
    <cfRule type="containsText" dxfId="9" priority="1" operator="containsText" text="x">
      <formula>NOT(ISERROR(SEARCH("x",E35)))</formula>
    </cfRule>
  </conditionalFormatting>
  <conditionalFormatting sqref="G49">
    <cfRule type="containsText" dxfId="8" priority="3" operator="containsText" text="x">
      <formula>NOT(ISERROR(SEARCH("x",G49)))</formula>
    </cfRule>
  </conditionalFormatting>
  <pageMargins left="0.25" right="0.25" top="0.75" bottom="0.75" header="0.3" footer="0.3"/>
  <pageSetup paperSize="9" scale="39" fitToHeight="0"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949BF884-A14A-40D0-905D-BEABBD9A9172}">
            <x14:dataBar minLength="0" maxLength="100" border="1" negativeBarBorderColorSameAsPositive="0">
              <x14:cfvo type="autoMin"/>
              <x14:cfvo type="autoMax"/>
              <x14:borderColor rgb="FFFF555A"/>
              <x14:negativeFillColor rgb="FFFF0000"/>
              <x14:negativeBorderColor rgb="FFFF0000"/>
              <x14:axisColor rgb="FF000000"/>
            </x14:dataBar>
          </x14:cfRule>
          <xm:sqref>E60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7B78-0125-47E3-BD98-D197478724C5}">
  <dimension ref="A5:J22"/>
  <sheetViews>
    <sheetView workbookViewId="0">
      <selection activeCell="C24" sqref="C24"/>
    </sheetView>
  </sheetViews>
  <sheetFormatPr baseColWidth="10" defaultRowHeight="14.4" x14ac:dyDescent="0.3"/>
  <cols>
    <col min="1" max="1" width="33.5546875" customWidth="1"/>
  </cols>
  <sheetData>
    <row r="5" spans="1:5" x14ac:dyDescent="0.3">
      <c r="A5" s="9" t="s">
        <v>20</v>
      </c>
      <c r="B5" s="8"/>
      <c r="C5" s="7"/>
      <c r="D5" s="103" t="s">
        <v>160</v>
      </c>
    </row>
    <row r="6" spans="1:5" x14ac:dyDescent="0.3">
      <c r="B6" s="116" t="s">
        <v>38</v>
      </c>
      <c r="C6" s="116" t="s">
        <v>133</v>
      </c>
      <c r="D6" s="116" t="s">
        <v>38</v>
      </c>
    </row>
    <row r="7" spans="1:5" x14ac:dyDescent="0.3">
      <c r="A7" s="13" t="s">
        <v>64</v>
      </c>
      <c r="B7" s="20">
        <v>27100</v>
      </c>
      <c r="D7" s="119">
        <v>13500</v>
      </c>
      <c r="E7" t="s">
        <v>162</v>
      </c>
    </row>
    <row r="8" spans="1:5" x14ac:dyDescent="0.3">
      <c r="A8" s="32" t="s">
        <v>65</v>
      </c>
      <c r="B8" s="56">
        <v>60500</v>
      </c>
      <c r="D8" s="119">
        <v>30000</v>
      </c>
      <c r="E8" t="s">
        <v>161</v>
      </c>
    </row>
    <row r="9" spans="1:5" x14ac:dyDescent="0.3">
      <c r="A9" s="15" t="s">
        <v>66</v>
      </c>
      <c r="B9" s="21">
        <v>3510</v>
      </c>
      <c r="D9" s="120">
        <v>3510</v>
      </c>
      <c r="E9" t="s">
        <v>163</v>
      </c>
    </row>
    <row r="10" spans="1:5" x14ac:dyDescent="0.3">
      <c r="A10" s="13" t="s">
        <v>0</v>
      </c>
      <c r="B10" s="20">
        <f>5970+650</f>
        <v>6620</v>
      </c>
      <c r="C10" s="15"/>
      <c r="D10" s="120">
        <f>5970+650</f>
        <v>6620</v>
      </c>
      <c r="E10" t="s">
        <v>163</v>
      </c>
    </row>
    <row r="11" spans="1:5" x14ac:dyDescent="0.3">
      <c r="A11" s="15" t="s">
        <v>1</v>
      </c>
      <c r="B11" s="54">
        <v>6850</v>
      </c>
      <c r="D11" s="121" t="s">
        <v>78</v>
      </c>
      <c r="E11" t="s">
        <v>164</v>
      </c>
    </row>
    <row r="12" spans="1:5" x14ac:dyDescent="0.3">
      <c r="A12" s="15" t="s">
        <v>129</v>
      </c>
      <c r="B12" s="54">
        <v>1680</v>
      </c>
      <c r="D12" s="122">
        <v>1680</v>
      </c>
      <c r="E12" t="s">
        <v>163</v>
      </c>
    </row>
    <row r="13" spans="1:5" x14ac:dyDescent="0.3">
      <c r="A13" s="15" t="s">
        <v>2</v>
      </c>
      <c r="B13" s="54">
        <v>4207.5</v>
      </c>
      <c r="D13" s="119">
        <v>0</v>
      </c>
      <c r="E13" t="s">
        <v>165</v>
      </c>
    </row>
    <row r="14" spans="1:5" x14ac:dyDescent="0.3">
      <c r="A14" s="15" t="s">
        <v>31</v>
      </c>
      <c r="B14" s="21">
        <v>3265.08</v>
      </c>
      <c r="C14" s="15"/>
      <c r="D14" s="120">
        <v>3265.08</v>
      </c>
      <c r="E14" t="s">
        <v>163</v>
      </c>
    </row>
    <row r="15" spans="1:5" x14ac:dyDescent="0.3">
      <c r="A15" s="15" t="s">
        <v>47</v>
      </c>
      <c r="B15" s="21">
        <v>600</v>
      </c>
      <c r="C15" s="15"/>
      <c r="D15" s="119">
        <v>0</v>
      </c>
    </row>
    <row r="16" spans="1:5" x14ac:dyDescent="0.3">
      <c r="A16" s="15" t="s">
        <v>3</v>
      </c>
      <c r="B16" s="21">
        <v>15400</v>
      </c>
      <c r="D16" s="120">
        <f>B16/2</f>
        <v>7700</v>
      </c>
      <c r="E16" t="s">
        <v>166</v>
      </c>
    </row>
    <row r="17" spans="1:10" x14ac:dyDescent="0.3">
      <c r="A17" s="15" t="s">
        <v>24</v>
      </c>
      <c r="B17" s="21">
        <v>3800</v>
      </c>
      <c r="D17" s="120">
        <f>B17/2</f>
        <v>1900</v>
      </c>
      <c r="E17" t="s">
        <v>166</v>
      </c>
    </row>
    <row r="18" spans="1:10" ht="14.4" customHeight="1" x14ac:dyDescent="0.3">
      <c r="A18" s="17" t="s">
        <v>42</v>
      </c>
      <c r="B18" s="24">
        <f>SUM(B7:B17)</f>
        <v>133532.58000000002</v>
      </c>
      <c r="C18" s="75">
        <f>B18*1.2</f>
        <v>160239.09600000002</v>
      </c>
      <c r="D18" s="123">
        <f>SUM(D7:D17)</f>
        <v>68175.08</v>
      </c>
      <c r="E18" s="60">
        <f>D18*1.2</f>
        <v>81810.096000000005</v>
      </c>
      <c r="F18" s="4" t="s">
        <v>167</v>
      </c>
      <c r="G18" s="124" t="s">
        <v>168</v>
      </c>
      <c r="H18" s="124"/>
      <c r="I18" s="124"/>
      <c r="J18" s="124"/>
    </row>
    <row r="19" spans="1:10" x14ac:dyDescent="0.3">
      <c r="G19" s="124"/>
      <c r="H19" s="124"/>
      <c r="I19" s="124"/>
      <c r="J19" s="124"/>
    </row>
    <row r="20" spans="1:10" x14ac:dyDescent="0.3">
      <c r="G20" s="124"/>
      <c r="H20" s="124"/>
      <c r="I20" s="124"/>
      <c r="J20" s="124"/>
    </row>
    <row r="21" spans="1:10" x14ac:dyDescent="0.3">
      <c r="G21" s="3"/>
      <c r="H21" s="3"/>
      <c r="I21" s="3"/>
      <c r="J21" s="3"/>
    </row>
    <row r="22" spans="1:10" x14ac:dyDescent="0.3">
      <c r="G22" s="3"/>
      <c r="H22" s="3"/>
      <c r="I22" s="3"/>
      <c r="J22" s="3"/>
    </row>
  </sheetData>
  <mergeCells count="1">
    <mergeCell ref="G18:J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0CE1A-9CBC-4DDA-90A0-A55E70703656}">
  <sheetPr>
    <pageSetUpPr fitToPage="1"/>
  </sheetPr>
  <dimension ref="A1:K82"/>
  <sheetViews>
    <sheetView zoomScale="115" zoomScaleNormal="115" workbookViewId="0">
      <selection activeCell="G11" sqref="G11"/>
    </sheetView>
  </sheetViews>
  <sheetFormatPr baseColWidth="10" defaultRowHeight="14.4" x14ac:dyDescent="0.3"/>
  <cols>
    <col min="1" max="1" width="64.109375" customWidth="1"/>
    <col min="2" max="2" width="5.21875" customWidth="1"/>
    <col min="3" max="3" width="20.109375" style="1" bestFit="1" customWidth="1"/>
    <col min="4" max="4" width="15.6640625" customWidth="1"/>
    <col min="5" max="5" width="15.5546875" bestFit="1" customWidth="1"/>
    <col min="6" max="6" width="17.77734375" customWidth="1"/>
    <col min="7" max="7" width="21.77734375" customWidth="1"/>
    <col min="9" max="9" width="14.77734375" customWidth="1"/>
    <col min="10" max="10" width="14.5546875" customWidth="1"/>
    <col min="11" max="11" width="14.44140625" customWidth="1"/>
  </cols>
  <sheetData>
    <row r="1" spans="1:11" ht="71.55" customHeight="1" x14ac:dyDescent="0.3">
      <c r="C1" s="1" t="s">
        <v>38</v>
      </c>
      <c r="E1" s="1" t="s">
        <v>36</v>
      </c>
      <c r="F1" s="2" t="s">
        <v>114</v>
      </c>
      <c r="G1" s="2" t="s">
        <v>115</v>
      </c>
      <c r="I1" s="57" t="s">
        <v>112</v>
      </c>
      <c r="J1" s="58" t="s">
        <v>113</v>
      </c>
      <c r="K1" s="59" t="s">
        <v>109</v>
      </c>
    </row>
    <row r="2" spans="1:11" s="4" customFormat="1" x14ac:dyDescent="0.3">
      <c r="A2" s="4" t="s">
        <v>111</v>
      </c>
      <c r="C2" s="10">
        <f>C32+C54</f>
        <v>1067052.58</v>
      </c>
      <c r="E2" s="1">
        <f>C2</f>
        <v>1067052.58</v>
      </c>
      <c r="F2" s="1">
        <f>C16</f>
        <v>706500</v>
      </c>
      <c r="G2" s="1">
        <f>C16+C44+C47</f>
        <v>730602.58</v>
      </c>
      <c r="I2" s="43"/>
      <c r="J2"/>
      <c r="K2" s="21"/>
    </row>
    <row r="3" spans="1:11" s="4" customFormat="1" x14ac:dyDescent="0.3">
      <c r="A3" s="4" t="s">
        <v>59</v>
      </c>
      <c r="C3" s="10"/>
      <c r="E3" s="1">
        <f>SUM(C75)</f>
        <v>320855</v>
      </c>
      <c r="F3" s="1">
        <f>SUM(C75)</f>
        <v>320855</v>
      </c>
      <c r="G3" s="1">
        <f>SUM(C75)</f>
        <v>320855</v>
      </c>
      <c r="I3" s="43"/>
      <c r="J3"/>
      <c r="K3" s="21"/>
    </row>
    <row r="4" spans="1:11" s="4" customFormat="1" x14ac:dyDescent="0.3">
      <c r="A4" s="4" t="s">
        <v>60</v>
      </c>
      <c r="E4" s="1">
        <f>$D$75</f>
        <v>462155</v>
      </c>
      <c r="F4" s="1">
        <f>$D$75</f>
        <v>462155</v>
      </c>
      <c r="G4" s="1">
        <f>$D$75</f>
        <v>462155</v>
      </c>
      <c r="I4" s="60">
        <f>0.8*C16</f>
        <v>565200</v>
      </c>
      <c r="J4" s="10">
        <f>K4-I4</f>
        <v>282600</v>
      </c>
      <c r="K4" s="21">
        <f>C16+0.2*C16</f>
        <v>847800</v>
      </c>
    </row>
    <row r="5" spans="1:11" x14ac:dyDescent="0.3">
      <c r="I5" s="15"/>
      <c r="K5" s="61"/>
    </row>
    <row r="6" spans="1:11" x14ac:dyDescent="0.3">
      <c r="I6" s="15"/>
      <c r="K6" s="61"/>
    </row>
    <row r="7" spans="1:11" ht="15" thickBot="1" x14ac:dyDescent="0.35">
      <c r="A7" t="s">
        <v>62</v>
      </c>
      <c r="C7" s="10"/>
      <c r="E7" s="10">
        <f>$E$2-$E$3</f>
        <v>746197.58000000007</v>
      </c>
      <c r="F7" s="10">
        <f>$F$2-$F$3</f>
        <v>385645</v>
      </c>
      <c r="G7" s="10">
        <f>$G$2-$G$3</f>
        <v>409747.57999999996</v>
      </c>
      <c r="I7" s="15"/>
      <c r="K7" s="61"/>
    </row>
    <row r="8" spans="1:11" ht="15" thickBot="1" x14ac:dyDescent="0.35">
      <c r="A8" t="s">
        <v>101</v>
      </c>
      <c r="C8" s="10"/>
      <c r="E8" s="10">
        <f>$E$2-$E$4</f>
        <v>604897.58000000007</v>
      </c>
      <c r="F8" s="10">
        <f>$F$2-$F$4</f>
        <v>244345</v>
      </c>
      <c r="G8" s="10">
        <f>$G$2-$G$4</f>
        <v>268447.57999999996</v>
      </c>
      <c r="I8" s="128" t="s">
        <v>107</v>
      </c>
      <c r="J8" s="129"/>
      <c r="K8" s="61"/>
    </row>
    <row r="9" spans="1:11" ht="15" thickBot="1" x14ac:dyDescent="0.35">
      <c r="A9" s="4" t="s">
        <v>73</v>
      </c>
      <c r="C9" s="10"/>
      <c r="E9" s="35">
        <f t="shared" ref="E9:G10" si="0">E7*0.2+E7</f>
        <v>895437.09600000014</v>
      </c>
      <c r="F9" s="37">
        <f>F7*0.2+F7</f>
        <v>462774</v>
      </c>
      <c r="G9" s="36">
        <f>G7*0.2+G7</f>
        <v>491697.09599999996</v>
      </c>
      <c r="I9" s="130"/>
      <c r="J9" s="131"/>
      <c r="K9" s="61"/>
    </row>
    <row r="10" spans="1:11" ht="15" thickBot="1" x14ac:dyDescent="0.35">
      <c r="A10" s="4" t="s">
        <v>102</v>
      </c>
      <c r="C10" s="10"/>
      <c r="E10" s="35">
        <f t="shared" si="0"/>
        <v>725877.09600000014</v>
      </c>
      <c r="F10" s="36">
        <f>F8*0.2+F8</f>
        <v>293214</v>
      </c>
      <c r="G10" s="34">
        <f t="shared" si="0"/>
        <v>322137.09599999996</v>
      </c>
      <c r="I10" s="132" t="s">
        <v>105</v>
      </c>
      <c r="J10" s="133"/>
      <c r="K10" s="62"/>
    </row>
    <row r="11" spans="1:11" ht="32.549999999999997" customHeight="1" thickBot="1" x14ac:dyDescent="0.35">
      <c r="A11" s="4" t="s">
        <v>104</v>
      </c>
      <c r="C11" s="10"/>
      <c r="E11" s="35">
        <f>E10+31000+(31000*0.2)</f>
        <v>763077.09600000014</v>
      </c>
      <c r="F11" s="52">
        <f>F10+31000++(31000*0.2)</f>
        <v>330414</v>
      </c>
      <c r="G11" s="52">
        <f>G10+31000+(31000*0.2)</f>
        <v>359337.09599999996</v>
      </c>
    </row>
    <row r="12" spans="1:11" ht="32.549999999999997" customHeight="1" x14ac:dyDescent="0.3">
      <c r="A12" s="4"/>
      <c r="C12" s="10"/>
      <c r="E12" s="48"/>
      <c r="F12" s="48"/>
      <c r="G12" s="48"/>
    </row>
    <row r="13" spans="1:11" s="7" customFormat="1" x14ac:dyDescent="0.3">
      <c r="A13" s="6" t="s">
        <v>19</v>
      </c>
      <c r="C13" s="8"/>
    </row>
    <row r="14" spans="1:11" hidden="1" x14ac:dyDescent="0.3">
      <c r="A14" s="26" t="s">
        <v>70</v>
      </c>
      <c r="B14" s="27"/>
      <c r="C14" s="28">
        <f>635000</f>
        <v>635000</v>
      </c>
      <c r="E14" t="s">
        <v>37</v>
      </c>
      <c r="F14" t="s">
        <v>37</v>
      </c>
      <c r="G14" t="s">
        <v>37</v>
      </c>
    </row>
    <row r="15" spans="1:11" hidden="1" x14ac:dyDescent="0.3">
      <c r="A15" s="19"/>
      <c r="B15" t="s">
        <v>61</v>
      </c>
      <c r="C15" s="1">
        <f>B16*C14</f>
        <v>0</v>
      </c>
    </row>
    <row r="16" spans="1:11" x14ac:dyDescent="0.3">
      <c r="A16" s="26" t="s">
        <v>95</v>
      </c>
      <c r="B16" s="30"/>
      <c r="C16" s="28">
        <v>706500</v>
      </c>
      <c r="E16" s="1"/>
      <c r="F16" s="1"/>
      <c r="G16" s="1"/>
      <c r="H16" s="1"/>
    </row>
    <row r="17" spans="1:8" x14ac:dyDescent="0.3">
      <c r="A17" s="26" t="s">
        <v>76</v>
      </c>
      <c r="B17" s="30"/>
      <c r="C17" s="28">
        <f>C16+50000</f>
        <v>756500</v>
      </c>
      <c r="D17" s="1"/>
      <c r="E17" s="1"/>
      <c r="F17" s="1"/>
      <c r="G17" s="1"/>
      <c r="H17" s="1"/>
    </row>
    <row r="18" spans="1:8" ht="9.4499999999999993" customHeight="1" x14ac:dyDescent="0.3">
      <c r="A18" s="43"/>
      <c r="B18" s="44"/>
      <c r="C18" s="10"/>
      <c r="D18" s="1"/>
      <c r="E18" s="1"/>
      <c r="F18" s="1"/>
      <c r="G18" s="1"/>
      <c r="H18" s="1"/>
    </row>
    <row r="19" spans="1:8" x14ac:dyDescent="0.3">
      <c r="A19" s="19" t="s">
        <v>8</v>
      </c>
      <c r="B19" s="14"/>
      <c r="C19" s="20"/>
    </row>
    <row r="20" spans="1:8" ht="28.8" x14ac:dyDescent="0.3">
      <c r="A20" s="22" t="s">
        <v>9</v>
      </c>
      <c r="C20" s="21">
        <v>60000</v>
      </c>
      <c r="E20" t="s">
        <v>37</v>
      </c>
      <c r="G20" s="45"/>
    </row>
    <row r="21" spans="1:8" x14ac:dyDescent="0.3">
      <c r="A21" s="22" t="s">
        <v>10</v>
      </c>
      <c r="C21" s="21">
        <v>54000</v>
      </c>
      <c r="E21" t="s">
        <v>37</v>
      </c>
      <c r="G21" s="46"/>
    </row>
    <row r="22" spans="1:8" x14ac:dyDescent="0.3">
      <c r="A22" s="22" t="s">
        <v>11</v>
      </c>
      <c r="C22" s="21">
        <v>9000</v>
      </c>
      <c r="E22" t="s">
        <v>37</v>
      </c>
      <c r="G22" s="46"/>
    </row>
    <row r="23" spans="1:8" x14ac:dyDescent="0.3">
      <c r="A23" s="22" t="s">
        <v>12</v>
      </c>
      <c r="C23" s="21">
        <v>18700</v>
      </c>
      <c r="E23" t="s">
        <v>37</v>
      </c>
    </row>
    <row r="24" spans="1:8" x14ac:dyDescent="0.3">
      <c r="A24" s="22" t="s">
        <v>13</v>
      </c>
      <c r="C24" s="21">
        <v>40000</v>
      </c>
      <c r="E24" t="s">
        <v>37</v>
      </c>
    </row>
    <row r="25" spans="1:8" x14ac:dyDescent="0.3">
      <c r="A25" s="22" t="s">
        <v>14</v>
      </c>
      <c r="C25" s="21">
        <v>8000</v>
      </c>
      <c r="E25" t="s">
        <v>37</v>
      </c>
    </row>
    <row r="26" spans="1:8" x14ac:dyDescent="0.3">
      <c r="A26" s="22" t="s">
        <v>15</v>
      </c>
      <c r="C26" s="21">
        <v>100000</v>
      </c>
      <c r="E26" t="s">
        <v>37</v>
      </c>
    </row>
    <row r="27" spans="1:8" x14ac:dyDescent="0.3">
      <c r="A27" s="22" t="s">
        <v>16</v>
      </c>
      <c r="C27" s="21">
        <v>12100</v>
      </c>
      <c r="E27" t="s">
        <v>37</v>
      </c>
    </row>
    <row r="28" spans="1:8" x14ac:dyDescent="0.3">
      <c r="A28" s="22" t="s">
        <v>17</v>
      </c>
      <c r="C28" s="21">
        <v>5500</v>
      </c>
      <c r="E28" t="s">
        <v>37</v>
      </c>
    </row>
    <row r="29" spans="1:8" x14ac:dyDescent="0.3">
      <c r="A29" s="22" t="s">
        <v>18</v>
      </c>
      <c r="C29" s="21">
        <v>2700</v>
      </c>
      <c r="E29" t="s">
        <v>37</v>
      </c>
    </row>
    <row r="30" spans="1:8" x14ac:dyDescent="0.3">
      <c r="A30" s="23" t="s">
        <v>40</v>
      </c>
      <c r="B30" s="18"/>
      <c r="C30" s="24">
        <f>SUM(C20:C29)</f>
        <v>310000</v>
      </c>
    </row>
    <row r="31" spans="1:8" x14ac:dyDescent="0.3">
      <c r="A31" s="3"/>
    </row>
    <row r="32" spans="1:8" x14ac:dyDescent="0.3">
      <c r="A32" s="5" t="s">
        <v>96</v>
      </c>
      <c r="B32" s="4"/>
      <c r="C32" s="11">
        <f>C16+C30</f>
        <v>1016500</v>
      </c>
    </row>
    <row r="33" spans="1:7" s="7" customFormat="1" x14ac:dyDescent="0.3">
      <c r="A33" s="9" t="s">
        <v>20</v>
      </c>
      <c r="C33" s="8"/>
    </row>
    <row r="34" spans="1:7" x14ac:dyDescent="0.3">
      <c r="D34" t="s">
        <v>45</v>
      </c>
    </row>
    <row r="35" spans="1:7" x14ac:dyDescent="0.3">
      <c r="A35" s="13" t="s">
        <v>64</v>
      </c>
      <c r="B35" s="14"/>
      <c r="C35" s="20">
        <v>27100</v>
      </c>
    </row>
    <row r="36" spans="1:7" x14ac:dyDescent="0.3">
      <c r="A36" s="32" t="s">
        <v>65</v>
      </c>
      <c r="B36" s="53"/>
      <c r="C36" s="56">
        <v>60500</v>
      </c>
    </row>
    <row r="37" spans="1:7" x14ac:dyDescent="0.3">
      <c r="A37" s="15" t="s">
        <v>66</v>
      </c>
      <c r="C37" s="21">
        <v>3510</v>
      </c>
    </row>
    <row r="38" spans="1:7" x14ac:dyDescent="0.3">
      <c r="A38" s="13" t="s">
        <v>0</v>
      </c>
      <c r="B38" s="14"/>
      <c r="C38" s="20">
        <f>5970+650</f>
        <v>6620</v>
      </c>
      <c r="D38" s="15"/>
      <c r="E38" t="s">
        <v>37</v>
      </c>
      <c r="F38" t="s">
        <v>37</v>
      </c>
      <c r="G38" t="s">
        <v>37</v>
      </c>
    </row>
    <row r="39" spans="1:7" x14ac:dyDescent="0.3">
      <c r="A39" s="15" t="s">
        <v>1</v>
      </c>
      <c r="C39" s="54">
        <v>6850</v>
      </c>
      <c r="E39" t="s">
        <v>37</v>
      </c>
      <c r="F39" t="s">
        <v>37</v>
      </c>
      <c r="G39" t="s">
        <v>37</v>
      </c>
    </row>
    <row r="40" spans="1:7" x14ac:dyDescent="0.3">
      <c r="A40" s="15" t="s">
        <v>2</v>
      </c>
      <c r="C40" s="54">
        <v>4207.5</v>
      </c>
      <c r="E40" t="s">
        <v>37</v>
      </c>
      <c r="F40" t="s">
        <v>37</v>
      </c>
      <c r="G40" t="s">
        <v>37</v>
      </c>
    </row>
    <row r="41" spans="1:7" x14ac:dyDescent="0.3">
      <c r="A41" s="15" t="s">
        <v>106</v>
      </c>
      <c r="C41" s="25"/>
      <c r="D41" s="15"/>
      <c r="E41" t="s">
        <v>37</v>
      </c>
      <c r="F41" t="s">
        <v>37</v>
      </c>
      <c r="G41" t="s">
        <v>37</v>
      </c>
    </row>
    <row r="42" spans="1:7" x14ac:dyDescent="0.3">
      <c r="A42" s="15" t="s">
        <v>31</v>
      </c>
      <c r="C42" s="21">
        <v>3265.08</v>
      </c>
      <c r="D42" s="15"/>
      <c r="E42" t="s">
        <v>37</v>
      </c>
      <c r="F42" t="s">
        <v>37</v>
      </c>
      <c r="G42" t="s">
        <v>37</v>
      </c>
    </row>
    <row r="43" spans="1:7" x14ac:dyDescent="0.3">
      <c r="A43" s="15" t="s">
        <v>47</v>
      </c>
      <c r="C43" s="21">
        <v>600</v>
      </c>
      <c r="D43" s="15"/>
      <c r="E43" t="s">
        <v>37</v>
      </c>
      <c r="F43" t="s">
        <v>37</v>
      </c>
      <c r="G43" t="s">
        <v>37</v>
      </c>
    </row>
    <row r="44" spans="1:7" x14ac:dyDescent="0.3">
      <c r="A44" s="17" t="s">
        <v>42</v>
      </c>
      <c r="B44" s="18"/>
      <c r="C44" s="24">
        <f>SUM(C38:C43)</f>
        <v>21542.58</v>
      </c>
      <c r="D44" s="15"/>
    </row>
    <row r="46" spans="1:7" x14ac:dyDescent="0.3">
      <c r="A46" s="19" t="s">
        <v>30</v>
      </c>
      <c r="B46" s="14"/>
      <c r="C46" s="20"/>
    </row>
    <row r="47" spans="1:7" x14ac:dyDescent="0.3">
      <c r="A47" s="15" t="s">
        <v>32</v>
      </c>
      <c r="C47" s="21">
        <v>2560</v>
      </c>
      <c r="E47" t="s">
        <v>37</v>
      </c>
      <c r="F47" t="s">
        <v>37</v>
      </c>
      <c r="G47" t="s">
        <v>37</v>
      </c>
    </row>
    <row r="48" spans="1:7" ht="45" customHeight="1" x14ac:dyDescent="0.3">
      <c r="A48" s="22" t="s">
        <v>33</v>
      </c>
      <c r="C48" s="21">
        <v>3500</v>
      </c>
      <c r="E48" t="s">
        <v>37</v>
      </c>
      <c r="F48" t="s">
        <v>37</v>
      </c>
    </row>
    <row r="49" spans="1:7" ht="76.05" customHeight="1" x14ac:dyDescent="0.3">
      <c r="A49" s="22" t="s">
        <v>35</v>
      </c>
      <c r="C49" s="21">
        <v>2250</v>
      </c>
      <c r="E49" t="s">
        <v>37</v>
      </c>
      <c r="F49" t="s">
        <v>37</v>
      </c>
    </row>
    <row r="50" spans="1:7" ht="43.2" x14ac:dyDescent="0.3">
      <c r="A50" s="22" t="s">
        <v>34</v>
      </c>
      <c r="C50" s="21">
        <v>1500</v>
      </c>
      <c r="E50" t="s">
        <v>37</v>
      </c>
      <c r="F50" t="s">
        <v>37</v>
      </c>
    </row>
    <row r="51" spans="1:7" x14ac:dyDescent="0.3">
      <c r="A51" s="15" t="s">
        <v>3</v>
      </c>
      <c r="C51" s="21">
        <v>15400</v>
      </c>
      <c r="E51" t="s">
        <v>37</v>
      </c>
      <c r="F51" t="s">
        <v>37</v>
      </c>
    </row>
    <row r="52" spans="1:7" x14ac:dyDescent="0.3">
      <c r="A52" s="15" t="s">
        <v>24</v>
      </c>
      <c r="C52" s="21">
        <v>3800</v>
      </c>
      <c r="E52" t="s">
        <v>37</v>
      </c>
      <c r="F52" t="s">
        <v>37</v>
      </c>
    </row>
    <row r="53" spans="1:7" x14ac:dyDescent="0.3">
      <c r="A53" s="23" t="s">
        <v>41</v>
      </c>
      <c r="B53" s="18"/>
      <c r="C53" s="24">
        <f>SUM(C47:C52)</f>
        <v>29010</v>
      </c>
    </row>
    <row r="54" spans="1:7" x14ac:dyDescent="0.3">
      <c r="A54" s="4" t="s">
        <v>39</v>
      </c>
      <c r="B54" s="4"/>
      <c r="C54" s="11">
        <f>C44+C53</f>
        <v>50552.58</v>
      </c>
    </row>
    <row r="56" spans="1:7" s="7" customFormat="1" x14ac:dyDescent="0.3">
      <c r="A56" s="6" t="s">
        <v>116</v>
      </c>
      <c r="C56" s="8"/>
    </row>
    <row r="57" spans="1:7" x14ac:dyDescent="0.3">
      <c r="C57" s="1" t="s">
        <v>67</v>
      </c>
      <c r="D57" t="s">
        <v>100</v>
      </c>
      <c r="G57" s="4" t="s">
        <v>77</v>
      </c>
    </row>
    <row r="58" spans="1:7" x14ac:dyDescent="0.3">
      <c r="A58" t="s">
        <v>5</v>
      </c>
      <c r="C58" s="1">
        <v>99405</v>
      </c>
      <c r="D58" s="1">
        <v>99405</v>
      </c>
      <c r="E58" s="1"/>
    </row>
    <row r="59" spans="1:7" x14ac:dyDescent="0.3">
      <c r="A59" t="s">
        <v>51</v>
      </c>
      <c r="C59" s="1">
        <v>60450</v>
      </c>
      <c r="D59" s="1">
        <v>60450</v>
      </c>
      <c r="E59" s="1"/>
      <c r="G59" s="51" t="s">
        <v>71</v>
      </c>
    </row>
    <row r="60" spans="1:7" x14ac:dyDescent="0.3">
      <c r="A60" t="s">
        <v>25</v>
      </c>
      <c r="C60" s="1">
        <f>0.1*C16</f>
        <v>70650</v>
      </c>
      <c r="D60" s="1">
        <f>0.3*C16</f>
        <v>211950</v>
      </c>
      <c r="E60" s="1"/>
      <c r="F60" t="s">
        <v>57</v>
      </c>
      <c r="G60" s="51" t="s">
        <v>72</v>
      </c>
    </row>
    <row r="61" spans="1:7" x14ac:dyDescent="0.3">
      <c r="A61" t="s">
        <v>58</v>
      </c>
      <c r="G61" s="51" t="s">
        <v>56</v>
      </c>
    </row>
    <row r="62" spans="1:7" hidden="1" x14ac:dyDescent="0.3">
      <c r="A62" t="s">
        <v>4</v>
      </c>
      <c r="C62" s="1">
        <f>0.8*$C$37+0.65*$C$35+13950</f>
        <v>34373</v>
      </c>
      <c r="D62" s="1">
        <f>0.8*$C$37+0.65*$C$35+13950</f>
        <v>34373</v>
      </c>
      <c r="F62" t="s">
        <v>57</v>
      </c>
      <c r="G62" s="42" t="s">
        <v>98</v>
      </c>
    </row>
    <row r="63" spans="1:7" hidden="1" x14ac:dyDescent="0.3">
      <c r="A63" t="s">
        <v>55</v>
      </c>
      <c r="G63" s="51" t="s">
        <v>56</v>
      </c>
    </row>
    <row r="64" spans="1:7" hidden="1" x14ac:dyDescent="0.3">
      <c r="A64" t="s">
        <v>3</v>
      </c>
      <c r="C64" s="1">
        <v>25000</v>
      </c>
      <c r="D64" s="1">
        <v>25000</v>
      </c>
      <c r="E64" s="1"/>
      <c r="G64" s="42"/>
    </row>
    <row r="65" spans="1:7" x14ac:dyDescent="0.3">
      <c r="A65" t="s">
        <v>26</v>
      </c>
      <c r="D65" s="29"/>
      <c r="F65" t="s">
        <v>57</v>
      </c>
      <c r="G65" s="42" t="s">
        <v>69</v>
      </c>
    </row>
    <row r="66" spans="1:7" x14ac:dyDescent="0.3">
      <c r="A66" t="s">
        <v>68</v>
      </c>
      <c r="C66" s="1">
        <f>10000+4700</f>
        <v>14700</v>
      </c>
      <c r="D66" s="1">
        <v>14700</v>
      </c>
      <c r="F66" t="s">
        <v>97</v>
      </c>
      <c r="G66" s="42" t="s">
        <v>110</v>
      </c>
    </row>
    <row r="67" spans="1:7" x14ac:dyDescent="0.3">
      <c r="A67" t="s">
        <v>49</v>
      </c>
      <c r="C67" s="1">
        <v>5000</v>
      </c>
      <c r="D67" s="1">
        <v>5000</v>
      </c>
      <c r="E67" s="1"/>
      <c r="F67" t="s">
        <v>94</v>
      </c>
    </row>
    <row r="68" spans="1:7" x14ac:dyDescent="0.3">
      <c r="A68" t="s">
        <v>108</v>
      </c>
      <c r="C68" s="1">
        <f>0.1*C16</f>
        <v>70650</v>
      </c>
      <c r="D68" s="1">
        <f>0.1*C16</f>
        <v>70650</v>
      </c>
      <c r="E68" s="1"/>
    </row>
    <row r="69" spans="1:7" x14ac:dyDescent="0.3">
      <c r="A69" t="s">
        <v>117</v>
      </c>
      <c r="D69" s="1"/>
      <c r="E69" s="1"/>
    </row>
    <row r="70" spans="1:7" x14ac:dyDescent="0.3">
      <c r="A70" s="12" t="s">
        <v>27</v>
      </c>
      <c r="D70" s="1"/>
      <c r="E70" s="1"/>
      <c r="F70" s="1"/>
    </row>
    <row r="71" spans="1:7" x14ac:dyDescent="0.3">
      <c r="A71" s="12" t="s">
        <v>52</v>
      </c>
      <c r="D71" s="29"/>
    </row>
    <row r="72" spans="1:7" x14ac:dyDescent="0.3">
      <c r="F72" s="1" t="s">
        <v>118</v>
      </c>
    </row>
    <row r="73" spans="1:7" x14ac:dyDescent="0.3">
      <c r="A73" s="12"/>
      <c r="B73" s="4"/>
      <c r="C73" s="10"/>
      <c r="D73" s="4"/>
    </row>
    <row r="74" spans="1:7" ht="15" thickBot="1" x14ac:dyDescent="0.35">
      <c r="A74" s="12"/>
    </row>
    <row r="75" spans="1:7" ht="15" thickBot="1" x14ac:dyDescent="0.35">
      <c r="A75" s="38" t="s">
        <v>6</v>
      </c>
      <c r="B75" s="39"/>
      <c r="C75" s="41">
        <f>SUM(C58:C74)-C62-C64</f>
        <v>320855</v>
      </c>
      <c r="D75" s="40">
        <f>SUM(D58:D74)-D62-D64</f>
        <v>462155</v>
      </c>
      <c r="E75" s="1"/>
    </row>
    <row r="76" spans="1:7" hidden="1" x14ac:dyDescent="0.3">
      <c r="D76" t="s">
        <v>103</v>
      </c>
    </row>
    <row r="77" spans="1:7" x14ac:dyDescent="0.3">
      <c r="D77" s="1">
        <f>0.8*C16</f>
        <v>565200</v>
      </c>
    </row>
    <row r="79" spans="1:7" x14ac:dyDescent="0.3">
      <c r="F79" t="s">
        <v>93</v>
      </c>
    </row>
    <row r="81" spans="1:4" x14ac:dyDescent="0.3">
      <c r="A81" s="55"/>
    </row>
    <row r="82" spans="1:4" ht="48.45" customHeight="1" x14ac:dyDescent="0.3">
      <c r="D82" s="10"/>
    </row>
  </sheetData>
  <mergeCells count="2">
    <mergeCell ref="I8:J9"/>
    <mergeCell ref="I10:J10"/>
  </mergeCells>
  <conditionalFormatting sqref="C60:E60">
    <cfRule type="dataBar" priority="4">
      <dataBar>
        <cfvo type="min"/>
        <cfvo type="max"/>
        <color rgb="FFFF555A"/>
      </dataBar>
      <extLst>
        <ext xmlns:x14="http://schemas.microsoft.com/office/spreadsheetml/2009/9/main" uri="{B025F937-C7B1-47D3-B67F-A62EFF666E3E}">
          <x14:id>{25E84926-147F-4A80-9085-FD7E58A13CA4}</x14:id>
        </ext>
      </extLst>
    </cfRule>
  </conditionalFormatting>
  <conditionalFormatting sqref="E11">
    <cfRule type="cellIs" dxfId="7" priority="1" operator="lessThan">
      <formula>300000</formula>
    </cfRule>
    <cfRule type="cellIs" dxfId="6" priority="2" operator="greaterThan">
      <formula>400000</formula>
    </cfRule>
  </conditionalFormatting>
  <conditionalFormatting sqref="E7:G10">
    <cfRule type="cellIs" dxfId="5" priority="3" operator="lessThan">
      <formula>300000</formula>
    </cfRule>
    <cfRule type="cellIs" dxfId="4" priority="5" operator="greaterThan">
      <formula>400000</formula>
    </cfRule>
  </conditionalFormatting>
  <pageMargins left="0.25" right="0.25" top="0.75" bottom="0.75" header="0.3" footer="0.3"/>
  <pageSetup paperSize="9" scale="39" fitToHeight="0"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25E84926-147F-4A80-9085-FD7E58A13CA4}">
            <x14:dataBar minLength="0" maxLength="100" border="1" negativeBarBorderColorSameAsPositive="0">
              <x14:cfvo type="autoMin"/>
              <x14:cfvo type="autoMax"/>
              <x14:borderColor rgb="FFFF555A"/>
              <x14:negativeFillColor rgb="FFFF0000"/>
              <x14:negativeBorderColor rgb="FFFF0000"/>
              <x14:axisColor rgb="FF000000"/>
            </x14:dataBar>
          </x14:cfRule>
          <xm:sqref>C60:E60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8C0AC-C18C-47AF-9BC9-1BCD0B118DDD}">
  <sheetPr>
    <pageSetUpPr fitToPage="1"/>
  </sheetPr>
  <dimension ref="A1:J81"/>
  <sheetViews>
    <sheetView topLeftCell="A57" zoomScale="115" zoomScaleNormal="115" workbookViewId="0">
      <selection activeCell="D68" sqref="D68"/>
    </sheetView>
  </sheetViews>
  <sheetFormatPr baseColWidth="10" defaultRowHeight="14.4" x14ac:dyDescent="0.3"/>
  <cols>
    <col min="1" max="1" width="64.109375" customWidth="1"/>
    <col min="2" max="2" width="5.21875" customWidth="1"/>
    <col min="3" max="3" width="20.109375" style="1" bestFit="1" customWidth="1"/>
    <col min="4" max="4" width="15.6640625" customWidth="1"/>
    <col min="5" max="5" width="15.5546875" bestFit="1" customWidth="1"/>
    <col min="6" max="6" width="17.77734375" customWidth="1"/>
    <col min="7" max="7" width="21.77734375" customWidth="1"/>
  </cols>
  <sheetData>
    <row r="1" spans="1:10" ht="43.2" x14ac:dyDescent="0.3">
      <c r="C1" s="1" t="s">
        <v>38</v>
      </c>
      <c r="E1" s="1" t="s">
        <v>36</v>
      </c>
      <c r="F1" s="2" t="s">
        <v>43</v>
      </c>
      <c r="G1" s="2" t="s">
        <v>44</v>
      </c>
    </row>
    <row r="2" spans="1:10" s="4" customFormat="1" x14ac:dyDescent="0.3">
      <c r="A2" s="4" t="s">
        <v>39</v>
      </c>
      <c r="C2" s="10">
        <f>C31+C53</f>
        <v>1002704.58</v>
      </c>
      <c r="E2" s="1">
        <f>C2</f>
        <v>1002704.58</v>
      </c>
      <c r="F2" s="1">
        <f>C15+C53</f>
        <v>764204.58</v>
      </c>
      <c r="G2" s="1">
        <f>C15+C43+C46</f>
        <v>737754.58</v>
      </c>
    </row>
    <row r="3" spans="1:10" s="4" customFormat="1" x14ac:dyDescent="0.3">
      <c r="A3" s="4" t="s">
        <v>59</v>
      </c>
      <c r="C3" s="10"/>
      <c r="E3" s="1">
        <f>SUM(C72)</f>
        <v>423728</v>
      </c>
      <c r="F3" s="1">
        <f>SUM(C72)</f>
        <v>423728</v>
      </c>
      <c r="G3" s="1">
        <f>SUM(C72)</f>
        <v>423728</v>
      </c>
    </row>
    <row r="4" spans="1:10" s="4" customFormat="1" x14ac:dyDescent="0.3">
      <c r="A4" s="4" t="s">
        <v>60</v>
      </c>
      <c r="C4" s="10"/>
      <c r="E4" s="1">
        <f>$D$72</f>
        <v>640828</v>
      </c>
      <c r="F4" s="1">
        <f>$D$72</f>
        <v>640828</v>
      </c>
      <c r="G4" s="1">
        <f>$D$72</f>
        <v>640828</v>
      </c>
    </row>
    <row r="7" spans="1:10" x14ac:dyDescent="0.3">
      <c r="A7" s="4" t="s">
        <v>62</v>
      </c>
      <c r="C7" s="10"/>
      <c r="E7" s="10">
        <f>$E$2-$E$3</f>
        <v>578976.57999999996</v>
      </c>
      <c r="F7" s="10">
        <f>$F$2-$F$3</f>
        <v>340476.57999999996</v>
      </c>
      <c r="G7" s="10">
        <f>$G$2-$G$3</f>
        <v>314026.57999999996</v>
      </c>
    </row>
    <row r="8" spans="1:10" ht="15" thickBot="1" x14ac:dyDescent="0.35">
      <c r="A8" s="4" t="s">
        <v>101</v>
      </c>
      <c r="C8" s="10"/>
      <c r="E8" s="10">
        <f>$E$2-$E$4</f>
        <v>361876.57999999996</v>
      </c>
      <c r="F8" s="10">
        <f>$F$2-$F$4</f>
        <v>123376.57999999996</v>
      </c>
      <c r="G8" s="10">
        <f>$G$2-$G$4</f>
        <v>96926.579999999958</v>
      </c>
    </row>
    <row r="9" spans="1:10" ht="15" thickBot="1" x14ac:dyDescent="0.35">
      <c r="A9" s="4" t="s">
        <v>73</v>
      </c>
      <c r="C9" s="10"/>
      <c r="E9" s="35">
        <f t="shared" ref="E9:G10" si="0">E7*0.2+E7</f>
        <v>694771.89599999995</v>
      </c>
      <c r="F9" s="37">
        <f>F7*0.2+F7</f>
        <v>408571.89599999995</v>
      </c>
      <c r="G9" s="36">
        <f>G7*0.2+G7</f>
        <v>376831.89599999995</v>
      </c>
      <c r="I9" s="135" t="s">
        <v>75</v>
      </c>
      <c r="J9" s="129"/>
    </row>
    <row r="10" spans="1:10" ht="15" thickBot="1" x14ac:dyDescent="0.35">
      <c r="A10" s="4" t="s">
        <v>102</v>
      </c>
      <c r="C10" s="10"/>
      <c r="E10" s="35">
        <f t="shared" si="0"/>
        <v>434251.89599999995</v>
      </c>
      <c r="F10" s="36">
        <f>F8*0.2+F8</f>
        <v>148051.89599999995</v>
      </c>
      <c r="G10" s="34">
        <f t="shared" si="0"/>
        <v>116311.89599999995</v>
      </c>
      <c r="I10" s="136"/>
      <c r="J10" s="131"/>
    </row>
    <row r="11" spans="1:10" ht="29.55" customHeight="1" x14ac:dyDescent="0.3">
      <c r="A11" s="4" t="s">
        <v>91</v>
      </c>
      <c r="C11" s="10"/>
      <c r="E11" s="48">
        <f>E10+30000</f>
        <v>464251.89599999995</v>
      </c>
      <c r="F11" s="48">
        <f>F10+30000</f>
        <v>178051.89599999995</v>
      </c>
      <c r="G11" s="49">
        <f>G10+30000</f>
        <v>146311.89599999995</v>
      </c>
      <c r="I11" s="137" t="s">
        <v>92</v>
      </c>
      <c r="J11" s="138"/>
    </row>
    <row r="12" spans="1:10" s="7" customFormat="1" x14ac:dyDescent="0.3">
      <c r="A12" s="6" t="s">
        <v>19</v>
      </c>
      <c r="C12" s="8"/>
    </row>
    <row r="13" spans="1:10" hidden="1" x14ac:dyDescent="0.3">
      <c r="A13" s="26" t="s">
        <v>70</v>
      </c>
      <c r="B13" s="27"/>
      <c r="C13" s="28">
        <f>635000</f>
        <v>635000</v>
      </c>
      <c r="E13" t="s">
        <v>37</v>
      </c>
      <c r="F13" t="s">
        <v>37</v>
      </c>
      <c r="G13" t="s">
        <v>37</v>
      </c>
    </row>
    <row r="14" spans="1:10" hidden="1" x14ac:dyDescent="0.3">
      <c r="A14" s="19"/>
      <c r="B14" t="s">
        <v>61</v>
      </c>
      <c r="C14" s="1">
        <f>B15*C13</f>
        <v>0</v>
      </c>
    </row>
    <row r="15" spans="1:10" x14ac:dyDescent="0.3">
      <c r="A15" s="26" t="s">
        <v>95</v>
      </c>
      <c r="B15" s="30"/>
      <c r="C15" s="28">
        <v>706500</v>
      </c>
      <c r="E15" s="1"/>
      <c r="F15" s="1"/>
      <c r="G15" s="1"/>
      <c r="H15" s="1"/>
    </row>
    <row r="16" spans="1:10" x14ac:dyDescent="0.3">
      <c r="A16" s="26" t="s">
        <v>76</v>
      </c>
      <c r="B16" s="30"/>
      <c r="C16" s="28">
        <f>C15+50000</f>
        <v>756500</v>
      </c>
      <c r="D16" s="1"/>
      <c r="E16" s="1"/>
      <c r="F16" s="1"/>
      <c r="G16" s="1"/>
      <c r="H16" s="1"/>
    </row>
    <row r="17" spans="1:8" ht="9.4499999999999993" customHeight="1" x14ac:dyDescent="0.3">
      <c r="A17" s="43"/>
      <c r="B17" s="44"/>
      <c r="C17" s="10"/>
      <c r="D17" s="1"/>
      <c r="E17" s="1"/>
      <c r="F17" s="1"/>
      <c r="G17" s="1"/>
      <c r="H17" s="1"/>
    </row>
    <row r="18" spans="1:8" x14ac:dyDescent="0.3">
      <c r="A18" s="19" t="s">
        <v>8</v>
      </c>
      <c r="B18" s="14"/>
      <c r="C18" s="20"/>
    </row>
    <row r="19" spans="1:8" ht="28.8" x14ac:dyDescent="0.3">
      <c r="A19" s="22" t="s">
        <v>9</v>
      </c>
      <c r="C19" s="21">
        <v>60000</v>
      </c>
      <c r="E19" t="s">
        <v>37</v>
      </c>
      <c r="G19" s="45">
        <v>188700</v>
      </c>
    </row>
    <row r="20" spans="1:8" x14ac:dyDescent="0.3">
      <c r="A20" s="22" t="s">
        <v>10</v>
      </c>
      <c r="C20" s="21">
        <v>54000</v>
      </c>
      <c r="E20" t="s">
        <v>37</v>
      </c>
      <c r="G20" s="46">
        <f>G19+30000+30000</f>
        <v>248700</v>
      </c>
    </row>
    <row r="21" spans="1:8" x14ac:dyDescent="0.3">
      <c r="A21" s="22" t="s">
        <v>11</v>
      </c>
      <c r="C21" s="21">
        <v>9000</v>
      </c>
      <c r="E21" t="s">
        <v>37</v>
      </c>
      <c r="G21" s="46">
        <f>0.5*G20</f>
        <v>124350</v>
      </c>
    </row>
    <row r="22" spans="1:8" x14ac:dyDescent="0.3">
      <c r="A22" s="22" t="s">
        <v>12</v>
      </c>
      <c r="C22" s="21">
        <v>18700</v>
      </c>
      <c r="E22" t="s">
        <v>37</v>
      </c>
    </row>
    <row r="23" spans="1:8" x14ac:dyDescent="0.3">
      <c r="A23" s="22" t="s">
        <v>13</v>
      </c>
      <c r="C23" s="21">
        <v>40000</v>
      </c>
      <c r="E23" t="s">
        <v>37</v>
      </c>
    </row>
    <row r="24" spans="1:8" x14ac:dyDescent="0.3">
      <c r="A24" s="22" t="s">
        <v>14</v>
      </c>
      <c r="C24" s="21">
        <v>8000</v>
      </c>
      <c r="E24" t="s">
        <v>37</v>
      </c>
    </row>
    <row r="25" spans="1:8" x14ac:dyDescent="0.3">
      <c r="A25" s="22" t="s">
        <v>15</v>
      </c>
      <c r="C25" s="21">
        <v>100000</v>
      </c>
      <c r="E25" t="s">
        <v>37</v>
      </c>
    </row>
    <row r="26" spans="1:8" x14ac:dyDescent="0.3">
      <c r="A26" s="22" t="s">
        <v>16</v>
      </c>
      <c r="C26" s="21">
        <v>12100</v>
      </c>
      <c r="E26" t="s">
        <v>37</v>
      </c>
    </row>
    <row r="27" spans="1:8" x14ac:dyDescent="0.3">
      <c r="A27" s="22" t="s">
        <v>17</v>
      </c>
      <c r="C27" s="21">
        <v>5500</v>
      </c>
      <c r="E27" t="s">
        <v>37</v>
      </c>
    </row>
    <row r="28" spans="1:8" x14ac:dyDescent="0.3">
      <c r="A28" s="22" t="s">
        <v>18</v>
      </c>
      <c r="C28" s="21">
        <v>2700</v>
      </c>
      <c r="E28" t="s">
        <v>37</v>
      </c>
    </row>
    <row r="29" spans="1:8" x14ac:dyDescent="0.3">
      <c r="A29" s="23" t="s">
        <v>40</v>
      </c>
      <c r="B29" s="18"/>
      <c r="C29" s="24">
        <f>SUM(C19:C28)</f>
        <v>310000</v>
      </c>
    </row>
    <row r="30" spans="1:8" x14ac:dyDescent="0.3">
      <c r="A30" s="3"/>
    </row>
    <row r="31" spans="1:8" x14ac:dyDescent="0.3">
      <c r="A31" s="5" t="s">
        <v>96</v>
      </c>
      <c r="B31" s="4"/>
      <c r="C31" s="11">
        <f>C13+C29</f>
        <v>945000</v>
      </c>
    </row>
    <row r="32" spans="1:8" s="7" customFormat="1" x14ac:dyDescent="0.3">
      <c r="A32" s="9" t="s">
        <v>20</v>
      </c>
      <c r="C32" s="8"/>
    </row>
    <row r="33" spans="1:7" x14ac:dyDescent="0.3">
      <c r="D33" t="s">
        <v>45</v>
      </c>
    </row>
    <row r="34" spans="1:7" x14ac:dyDescent="0.3">
      <c r="A34" s="13" t="s">
        <v>64</v>
      </c>
      <c r="B34" s="14"/>
      <c r="C34" s="20">
        <v>27100</v>
      </c>
    </row>
    <row r="35" spans="1:7" x14ac:dyDescent="0.3">
      <c r="A35" s="32" t="s">
        <v>65</v>
      </c>
      <c r="B35" s="33"/>
      <c r="C35" s="50">
        <v>70000</v>
      </c>
    </row>
    <row r="36" spans="1:7" x14ac:dyDescent="0.3">
      <c r="A36" s="15" t="s">
        <v>66</v>
      </c>
      <c r="C36" s="21">
        <v>3510</v>
      </c>
    </row>
    <row r="37" spans="1:7" x14ac:dyDescent="0.3">
      <c r="A37" s="13" t="s">
        <v>0</v>
      </c>
      <c r="B37" s="14"/>
      <c r="C37" s="20">
        <v>5970</v>
      </c>
      <c r="D37" s="15"/>
      <c r="E37" t="s">
        <v>37</v>
      </c>
      <c r="F37" t="s">
        <v>37</v>
      </c>
      <c r="G37" t="s">
        <v>37</v>
      </c>
    </row>
    <row r="38" spans="1:7" x14ac:dyDescent="0.3">
      <c r="A38" s="15" t="s">
        <v>1</v>
      </c>
      <c r="C38" s="25">
        <v>11900</v>
      </c>
      <c r="D38" s="31">
        <v>6850</v>
      </c>
      <c r="E38" t="s">
        <v>37</v>
      </c>
      <c r="F38" t="s">
        <v>37</v>
      </c>
      <c r="G38" t="s">
        <v>37</v>
      </c>
    </row>
    <row r="39" spans="1:7" x14ac:dyDescent="0.3">
      <c r="A39" s="15" t="s">
        <v>2</v>
      </c>
      <c r="C39" s="16">
        <v>4207.5</v>
      </c>
      <c r="D39" s="31">
        <v>4207.5</v>
      </c>
      <c r="E39" t="s">
        <v>37</v>
      </c>
      <c r="F39" t="s">
        <v>37</v>
      </c>
      <c r="G39" t="s">
        <v>37</v>
      </c>
    </row>
    <row r="40" spans="1:7" x14ac:dyDescent="0.3">
      <c r="A40" s="15" t="s">
        <v>23</v>
      </c>
      <c r="C40" s="25">
        <v>2752</v>
      </c>
      <c r="D40" s="15"/>
      <c r="E40" t="s">
        <v>37</v>
      </c>
      <c r="F40" t="s">
        <v>37</v>
      </c>
      <c r="G40" t="s">
        <v>37</v>
      </c>
    </row>
    <row r="41" spans="1:7" x14ac:dyDescent="0.3">
      <c r="A41" s="15" t="s">
        <v>31</v>
      </c>
      <c r="C41" s="21">
        <v>3265.08</v>
      </c>
      <c r="D41" s="15"/>
      <c r="E41" t="s">
        <v>37</v>
      </c>
      <c r="F41" t="s">
        <v>37</v>
      </c>
      <c r="G41" t="s">
        <v>37</v>
      </c>
    </row>
    <row r="42" spans="1:7" x14ac:dyDescent="0.3">
      <c r="A42" s="15" t="s">
        <v>47</v>
      </c>
      <c r="C42" s="21">
        <v>600</v>
      </c>
      <c r="D42" s="15"/>
      <c r="E42" t="s">
        <v>37</v>
      </c>
      <c r="F42" t="s">
        <v>37</v>
      </c>
      <c r="G42" t="s">
        <v>37</v>
      </c>
    </row>
    <row r="43" spans="1:7" x14ac:dyDescent="0.3">
      <c r="A43" s="17" t="s">
        <v>42</v>
      </c>
      <c r="B43" s="18"/>
      <c r="C43" s="24">
        <f>SUM(C37:C42)</f>
        <v>28694.58</v>
      </c>
      <c r="D43" s="15"/>
    </row>
    <row r="45" spans="1:7" x14ac:dyDescent="0.3">
      <c r="A45" s="19" t="s">
        <v>30</v>
      </c>
      <c r="B45" s="14"/>
      <c r="C45" s="20"/>
    </row>
    <row r="46" spans="1:7" x14ac:dyDescent="0.3">
      <c r="A46" s="15" t="s">
        <v>32</v>
      </c>
      <c r="C46" s="21">
        <v>2560</v>
      </c>
      <c r="E46" t="s">
        <v>37</v>
      </c>
      <c r="F46" t="s">
        <v>37</v>
      </c>
      <c r="G46" t="s">
        <v>37</v>
      </c>
    </row>
    <row r="47" spans="1:7" ht="45" customHeight="1" x14ac:dyDescent="0.3">
      <c r="A47" s="22" t="s">
        <v>33</v>
      </c>
      <c r="C47" s="21">
        <v>3500</v>
      </c>
      <c r="E47" t="s">
        <v>37</v>
      </c>
      <c r="F47" t="s">
        <v>37</v>
      </c>
    </row>
    <row r="48" spans="1:7" ht="76.05" customHeight="1" x14ac:dyDescent="0.3">
      <c r="A48" s="22" t="s">
        <v>35</v>
      </c>
      <c r="C48" s="21">
        <v>2250</v>
      </c>
      <c r="E48" t="s">
        <v>37</v>
      </c>
      <c r="F48" t="s">
        <v>37</v>
      </c>
    </row>
    <row r="49" spans="1:7" ht="43.2" x14ac:dyDescent="0.3">
      <c r="A49" s="22" t="s">
        <v>34</v>
      </c>
      <c r="C49" s="21">
        <v>1500</v>
      </c>
      <c r="E49" t="s">
        <v>37</v>
      </c>
      <c r="F49" t="s">
        <v>37</v>
      </c>
    </row>
    <row r="50" spans="1:7" x14ac:dyDescent="0.3">
      <c r="A50" s="15" t="s">
        <v>3</v>
      </c>
      <c r="C50" s="21">
        <v>15400</v>
      </c>
      <c r="E50" t="s">
        <v>37</v>
      </c>
      <c r="F50" t="s">
        <v>37</v>
      </c>
    </row>
    <row r="51" spans="1:7" x14ac:dyDescent="0.3">
      <c r="A51" s="15" t="s">
        <v>24</v>
      </c>
      <c r="C51" s="21">
        <v>3800</v>
      </c>
      <c r="E51" t="s">
        <v>37</v>
      </c>
      <c r="F51" t="s">
        <v>37</v>
      </c>
    </row>
    <row r="52" spans="1:7" x14ac:dyDescent="0.3">
      <c r="A52" s="23" t="s">
        <v>41</v>
      </c>
      <c r="B52" s="18"/>
      <c r="C52" s="24">
        <f>SUM(C46:C51)</f>
        <v>29010</v>
      </c>
    </row>
    <row r="53" spans="1:7" x14ac:dyDescent="0.3">
      <c r="A53" s="4" t="s">
        <v>39</v>
      </c>
      <c r="B53" s="4"/>
      <c r="C53" s="11">
        <f>C43+C52</f>
        <v>57704.58</v>
      </c>
    </row>
    <row r="55" spans="1:7" s="7" customFormat="1" x14ac:dyDescent="0.3">
      <c r="A55" s="6" t="s">
        <v>21</v>
      </c>
      <c r="C55" s="8"/>
    </row>
    <row r="56" spans="1:7" x14ac:dyDescent="0.3">
      <c r="C56" s="1" t="s">
        <v>67</v>
      </c>
      <c r="D56" t="s">
        <v>100</v>
      </c>
      <c r="G56" s="4" t="s">
        <v>77</v>
      </c>
    </row>
    <row r="57" spans="1:7" x14ac:dyDescent="0.3">
      <c r="A57" t="s">
        <v>5</v>
      </c>
      <c r="C57" s="1">
        <v>99405</v>
      </c>
      <c r="D57" s="1">
        <v>99405</v>
      </c>
      <c r="E57" s="1"/>
    </row>
    <row r="58" spans="1:7" x14ac:dyDescent="0.3">
      <c r="A58" t="s">
        <v>51</v>
      </c>
      <c r="C58" s="1">
        <v>60450</v>
      </c>
      <c r="D58" s="1">
        <v>60450</v>
      </c>
      <c r="E58" s="1"/>
      <c r="G58" s="51" t="s">
        <v>71</v>
      </c>
    </row>
    <row r="59" spans="1:7" x14ac:dyDescent="0.3">
      <c r="A59" t="s">
        <v>25</v>
      </c>
      <c r="C59" s="1">
        <f>0.2*C13</f>
        <v>127000</v>
      </c>
      <c r="D59" s="1">
        <f>0.4*C15</f>
        <v>282600</v>
      </c>
      <c r="E59" s="1"/>
      <c r="F59" t="s">
        <v>57</v>
      </c>
      <c r="G59" s="51" t="s">
        <v>72</v>
      </c>
    </row>
    <row r="60" spans="1:7" x14ac:dyDescent="0.3">
      <c r="A60" t="s">
        <v>58</v>
      </c>
      <c r="G60" s="51" t="s">
        <v>56</v>
      </c>
    </row>
    <row r="61" spans="1:7" x14ac:dyDescent="0.3">
      <c r="A61" t="s">
        <v>4</v>
      </c>
      <c r="C61" s="1">
        <f>0.8*$C$36+0.65*$C$34+13950</f>
        <v>34373</v>
      </c>
      <c r="D61" s="1">
        <f>0.8*$C$36+0.65*$C$34+13950</f>
        <v>34373</v>
      </c>
      <c r="F61" t="s">
        <v>57</v>
      </c>
      <c r="G61" s="42" t="s">
        <v>98</v>
      </c>
    </row>
    <row r="62" spans="1:7" x14ac:dyDescent="0.3">
      <c r="A62" t="s">
        <v>55</v>
      </c>
      <c r="G62" s="51" t="s">
        <v>56</v>
      </c>
    </row>
    <row r="63" spans="1:7" x14ac:dyDescent="0.3">
      <c r="A63" t="s">
        <v>3</v>
      </c>
      <c r="C63" s="1">
        <v>25000</v>
      </c>
      <c r="D63" s="1">
        <v>25000</v>
      </c>
      <c r="E63" s="1"/>
      <c r="G63" s="42"/>
    </row>
    <row r="64" spans="1:7" x14ac:dyDescent="0.3">
      <c r="A64" t="s">
        <v>26</v>
      </c>
      <c r="C64" s="1">
        <f>0.5*125000</f>
        <v>62500</v>
      </c>
      <c r="D64" s="29">
        <v>124000</v>
      </c>
      <c r="F64" t="s">
        <v>57</v>
      </c>
      <c r="G64" s="42" t="s">
        <v>69</v>
      </c>
    </row>
    <row r="65" spans="1:7" x14ac:dyDescent="0.3">
      <c r="A65" t="s">
        <v>68</v>
      </c>
      <c r="C65" s="1">
        <v>10000</v>
      </c>
      <c r="D65" s="29">
        <v>10000</v>
      </c>
      <c r="F65" t="s">
        <v>97</v>
      </c>
      <c r="G65" s="42" t="s">
        <v>99</v>
      </c>
    </row>
    <row r="66" spans="1:7" x14ac:dyDescent="0.3">
      <c r="A66" t="s">
        <v>49</v>
      </c>
      <c r="C66" s="1">
        <v>5000</v>
      </c>
      <c r="D66" s="1">
        <v>5000</v>
      </c>
      <c r="E66" s="1"/>
      <c r="F66" t="s">
        <v>94</v>
      </c>
    </row>
    <row r="67" spans="1:7" x14ac:dyDescent="0.3">
      <c r="A67" s="12" t="s">
        <v>27</v>
      </c>
      <c r="D67" s="1"/>
      <c r="E67" s="1"/>
      <c r="F67" s="1"/>
    </row>
    <row r="68" spans="1:7" x14ac:dyDescent="0.3">
      <c r="A68" s="12" t="s">
        <v>52</v>
      </c>
      <c r="D68" s="29"/>
    </row>
    <row r="69" spans="1:7" x14ac:dyDescent="0.3">
      <c r="A69" s="12" t="s">
        <v>54</v>
      </c>
    </row>
    <row r="70" spans="1:7" x14ac:dyDescent="0.3">
      <c r="A70" s="12" t="s">
        <v>28</v>
      </c>
      <c r="B70" s="4"/>
      <c r="C70" s="10"/>
      <c r="D70" s="4"/>
    </row>
    <row r="71" spans="1:7" ht="15" thickBot="1" x14ac:dyDescent="0.35">
      <c r="A71" s="12" t="s">
        <v>29</v>
      </c>
    </row>
    <row r="72" spans="1:7" ht="15" thickBot="1" x14ac:dyDescent="0.35">
      <c r="A72" s="38" t="s">
        <v>6</v>
      </c>
      <c r="B72" s="39"/>
      <c r="C72" s="41">
        <f>SUM(C57:C71)</f>
        <v>423728</v>
      </c>
      <c r="D72" s="40">
        <f>SUM(D57:D71)</f>
        <v>640828</v>
      </c>
      <c r="E72" s="1"/>
    </row>
    <row r="73" spans="1:7" x14ac:dyDescent="0.3">
      <c r="D73" t="s">
        <v>103</v>
      </c>
    </row>
    <row r="74" spans="1:7" x14ac:dyDescent="0.3">
      <c r="A74" t="s">
        <v>50</v>
      </c>
      <c r="D74" s="10">
        <f>0.8*C15</f>
        <v>565200</v>
      </c>
    </row>
    <row r="76" spans="1:7" x14ac:dyDescent="0.3">
      <c r="F76" t="s">
        <v>93</v>
      </c>
    </row>
    <row r="78" spans="1:7" hidden="1" x14ac:dyDescent="0.3">
      <c r="A78" t="s">
        <v>53</v>
      </c>
    </row>
    <row r="79" spans="1:7" hidden="1" x14ac:dyDescent="0.3"/>
    <row r="80" spans="1:7" hidden="1" x14ac:dyDescent="0.3">
      <c r="A80" t="s">
        <v>46</v>
      </c>
      <c r="C80" s="1">
        <v>8000</v>
      </c>
    </row>
    <row r="81" spans="3:3" hidden="1" x14ac:dyDescent="0.3">
      <c r="C81" s="1">
        <f>0.5*(C46+C47+C48+C49+C50+C51)</f>
        <v>14505</v>
      </c>
    </row>
  </sheetData>
  <mergeCells count="2">
    <mergeCell ref="I9:J10"/>
    <mergeCell ref="I11:J11"/>
  </mergeCells>
  <conditionalFormatting sqref="C59:E59">
    <cfRule type="dataBar" priority="3">
      <dataBar>
        <cfvo type="min"/>
        <cfvo type="max"/>
        <color rgb="FFFF555A"/>
      </dataBar>
      <extLst>
        <ext xmlns:x14="http://schemas.microsoft.com/office/spreadsheetml/2009/9/main" uri="{B025F937-C7B1-47D3-B67F-A62EFF666E3E}">
          <x14:id>{40D5C391-4B1A-4393-9C34-C407348B1C01}</x14:id>
        </ext>
      </extLst>
    </cfRule>
  </conditionalFormatting>
  <conditionalFormatting sqref="E7:G10">
    <cfRule type="cellIs" dxfId="3" priority="2" operator="lessThan">
      <formula>300000</formula>
    </cfRule>
    <cfRule type="cellIs" dxfId="2" priority="4" operator="greaterThan">
      <formula>400000</formula>
    </cfRule>
  </conditionalFormatting>
  <pageMargins left="0.25" right="0.25" top="0.75" bottom="0.75" header="0.3" footer="0.3"/>
  <pageSetup paperSize="9" scale="39" fitToHeight="0"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40D5C391-4B1A-4393-9C34-C407348B1C01}">
            <x14:dataBar minLength="0" maxLength="100" border="1" negativeBarBorderColorSameAsPositive="0">
              <x14:cfvo type="autoMin"/>
              <x14:cfvo type="autoMax"/>
              <x14:borderColor rgb="FFFF555A"/>
              <x14:negativeFillColor rgb="FFFF0000"/>
              <x14:negativeBorderColor rgb="FFFF0000"/>
              <x14:axisColor rgb="FF000000"/>
            </x14:dataBar>
          </x14:cfRule>
          <xm:sqref>C59:E59</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3AE1-A208-4EB3-AEA7-B2CCE3EA1D33}">
  <sheetPr>
    <pageSetUpPr fitToPage="1"/>
  </sheetPr>
  <dimension ref="A1:J81"/>
  <sheetViews>
    <sheetView topLeftCell="A28" zoomScale="115" zoomScaleNormal="115" workbookViewId="0">
      <selection activeCell="F25" sqref="F25"/>
    </sheetView>
  </sheetViews>
  <sheetFormatPr baseColWidth="10" defaultRowHeight="14.4" x14ac:dyDescent="0.3"/>
  <cols>
    <col min="1" max="1" width="64.109375" customWidth="1"/>
    <col min="2" max="2" width="5.21875" customWidth="1"/>
    <col min="3" max="3" width="20.109375" style="1" bestFit="1" customWidth="1"/>
    <col min="4" max="4" width="15.6640625" customWidth="1"/>
    <col min="5" max="5" width="15.5546875" bestFit="1" customWidth="1"/>
    <col min="6" max="6" width="17.77734375" customWidth="1"/>
    <col min="7" max="7" width="21.77734375" customWidth="1"/>
  </cols>
  <sheetData>
    <row r="1" spans="1:10" ht="43.2" x14ac:dyDescent="0.3">
      <c r="C1" s="1" t="s">
        <v>38</v>
      </c>
      <c r="E1" s="1" t="s">
        <v>36</v>
      </c>
      <c r="F1" s="2" t="s">
        <v>43</v>
      </c>
      <c r="G1" s="2" t="s">
        <v>44</v>
      </c>
    </row>
    <row r="2" spans="1:10" s="4" customFormat="1" x14ac:dyDescent="0.3">
      <c r="A2" s="4" t="s">
        <v>39</v>
      </c>
      <c r="C2" s="10">
        <f>C31+C53</f>
        <v>1002704.58</v>
      </c>
      <c r="E2" s="1">
        <f>C2</f>
        <v>1002704.58</v>
      </c>
      <c r="F2" s="1">
        <f>C15+C53</f>
        <v>764204.58</v>
      </c>
      <c r="G2" s="1">
        <f>C15+C43+C46</f>
        <v>737754.58</v>
      </c>
    </row>
    <row r="3" spans="1:10" s="4" customFormat="1" x14ac:dyDescent="0.3">
      <c r="A3" s="4" t="s">
        <v>59</v>
      </c>
      <c r="C3" s="10"/>
      <c r="E3" s="1">
        <f>SUM(C72)</f>
        <v>399778</v>
      </c>
      <c r="F3" s="1">
        <f>SUM(C72)</f>
        <v>399778</v>
      </c>
      <c r="G3" s="1">
        <f>SUM(C72)</f>
        <v>399778</v>
      </c>
    </row>
    <row r="4" spans="1:10" s="4" customFormat="1" x14ac:dyDescent="0.3">
      <c r="A4" s="4" t="s">
        <v>60</v>
      </c>
      <c r="C4" s="10"/>
      <c r="E4" s="1">
        <f>$D$72</f>
        <v>616878</v>
      </c>
      <c r="F4" s="1">
        <f>$D$72</f>
        <v>616878</v>
      </c>
      <c r="G4" s="1">
        <f>$D$72</f>
        <v>616878</v>
      </c>
    </row>
    <row r="7" spans="1:10" x14ac:dyDescent="0.3">
      <c r="A7" s="4" t="s">
        <v>62</v>
      </c>
      <c r="C7" s="10"/>
      <c r="E7" s="10">
        <f>$E$2-$E$3</f>
        <v>602926.57999999996</v>
      </c>
      <c r="F7" s="10">
        <f>$F$2-$F$3</f>
        <v>364426.57999999996</v>
      </c>
      <c r="G7" s="10">
        <f>$G$2-$G$3</f>
        <v>337976.57999999996</v>
      </c>
    </row>
    <row r="8" spans="1:10" ht="15" thickBot="1" x14ac:dyDescent="0.35">
      <c r="A8" s="4" t="s">
        <v>63</v>
      </c>
      <c r="C8" s="10"/>
      <c r="E8" s="10">
        <f>$E$2-$E$4</f>
        <v>385826.57999999996</v>
      </c>
      <c r="F8" s="10">
        <f>$F$2-$F$4</f>
        <v>147326.57999999996</v>
      </c>
      <c r="G8" s="10">
        <f>$G$2-$G$4</f>
        <v>120876.57999999996</v>
      </c>
    </row>
    <row r="9" spans="1:10" ht="15" thickBot="1" x14ac:dyDescent="0.35">
      <c r="A9" s="4" t="s">
        <v>73</v>
      </c>
      <c r="C9" s="10"/>
      <c r="E9" s="35">
        <f t="shared" ref="E9:G10" si="0">E7*0.2+E7</f>
        <v>723511.89599999995</v>
      </c>
      <c r="F9" s="37">
        <f>F7*0.2+F7</f>
        <v>437311.89599999995</v>
      </c>
      <c r="G9" s="36">
        <f>G7*0.2+G7</f>
        <v>405571.89599999995</v>
      </c>
      <c r="I9" s="135" t="s">
        <v>75</v>
      </c>
      <c r="J9" s="129"/>
    </row>
    <row r="10" spans="1:10" ht="15" thickBot="1" x14ac:dyDescent="0.35">
      <c r="A10" s="4" t="s">
        <v>74</v>
      </c>
      <c r="C10" s="10"/>
      <c r="E10" s="35">
        <f t="shared" si="0"/>
        <v>462991.89599999995</v>
      </c>
      <c r="F10" s="36">
        <f>F8*0.2+F8</f>
        <v>176791.89599999995</v>
      </c>
      <c r="G10" s="34">
        <f t="shared" si="0"/>
        <v>145051.89599999995</v>
      </c>
      <c r="I10" s="136"/>
      <c r="J10" s="131"/>
    </row>
    <row r="11" spans="1:10" ht="29.55" customHeight="1" x14ac:dyDescent="0.3">
      <c r="A11" s="4" t="s">
        <v>91</v>
      </c>
      <c r="C11" s="10"/>
      <c r="E11" s="48">
        <f>E10+30000</f>
        <v>492991.89599999995</v>
      </c>
      <c r="F11" s="48">
        <f>F10+30000</f>
        <v>206791.89599999995</v>
      </c>
      <c r="G11" s="49">
        <f>G10+30000</f>
        <v>175051.89599999995</v>
      </c>
      <c r="I11" s="137" t="s">
        <v>92</v>
      </c>
      <c r="J11" s="138"/>
    </row>
    <row r="12" spans="1:10" s="7" customFormat="1" x14ac:dyDescent="0.3">
      <c r="A12" s="6" t="s">
        <v>19</v>
      </c>
      <c r="C12" s="8"/>
    </row>
    <row r="13" spans="1:10" hidden="1" x14ac:dyDescent="0.3">
      <c r="A13" s="26" t="s">
        <v>70</v>
      </c>
      <c r="B13" s="27"/>
      <c r="C13" s="28">
        <f>635000</f>
        <v>635000</v>
      </c>
      <c r="E13" t="s">
        <v>37</v>
      </c>
      <c r="F13" t="s">
        <v>37</v>
      </c>
      <c r="G13" t="s">
        <v>37</v>
      </c>
    </row>
    <row r="14" spans="1:10" hidden="1" x14ac:dyDescent="0.3">
      <c r="A14" s="19"/>
      <c r="B14" t="s">
        <v>61</v>
      </c>
      <c r="C14" s="1">
        <f>B15*C13</f>
        <v>0</v>
      </c>
    </row>
    <row r="15" spans="1:10" x14ac:dyDescent="0.3">
      <c r="A15" s="26" t="s">
        <v>95</v>
      </c>
      <c r="B15" s="30"/>
      <c r="C15" s="28">
        <v>706500</v>
      </c>
      <c r="E15" s="1"/>
      <c r="F15" s="1"/>
      <c r="G15" s="1"/>
      <c r="H15" s="1"/>
    </row>
    <row r="16" spans="1:10" x14ac:dyDescent="0.3">
      <c r="A16" s="26" t="s">
        <v>76</v>
      </c>
      <c r="B16" s="30"/>
      <c r="C16" s="28">
        <f>C15+50000</f>
        <v>756500</v>
      </c>
      <c r="D16" s="1"/>
      <c r="E16" s="1"/>
      <c r="F16" s="1"/>
      <c r="G16" s="1"/>
      <c r="H16" s="1"/>
    </row>
    <row r="17" spans="1:8" ht="15" customHeight="1" x14ac:dyDescent="0.3">
      <c r="A17" s="43"/>
      <c r="B17" s="44"/>
      <c r="C17" s="10"/>
      <c r="D17" s="1"/>
      <c r="E17" s="1"/>
      <c r="F17" s="1"/>
      <c r="G17" s="1"/>
      <c r="H17" s="1"/>
    </row>
    <row r="18" spans="1:8" x14ac:dyDescent="0.3">
      <c r="A18" s="19" t="s">
        <v>8</v>
      </c>
      <c r="B18" s="14"/>
      <c r="C18" s="20"/>
    </row>
    <row r="19" spans="1:8" ht="28.8" x14ac:dyDescent="0.3">
      <c r="A19" s="22" t="s">
        <v>9</v>
      </c>
      <c r="C19" s="21">
        <v>60000</v>
      </c>
      <c r="E19" t="s">
        <v>37</v>
      </c>
      <c r="G19" s="45">
        <v>188700</v>
      </c>
    </row>
    <row r="20" spans="1:8" x14ac:dyDescent="0.3">
      <c r="A20" s="22" t="s">
        <v>10</v>
      </c>
      <c r="C20" s="21">
        <v>54000</v>
      </c>
      <c r="E20" t="s">
        <v>37</v>
      </c>
      <c r="G20" s="46">
        <f>G19+30000+30000</f>
        <v>248700</v>
      </c>
    </row>
    <row r="21" spans="1:8" x14ac:dyDescent="0.3">
      <c r="A21" s="22" t="s">
        <v>11</v>
      </c>
      <c r="C21" s="21">
        <v>9000</v>
      </c>
      <c r="E21" t="s">
        <v>37</v>
      </c>
      <c r="G21" s="46">
        <f>0.5*G20</f>
        <v>124350</v>
      </c>
    </row>
    <row r="22" spans="1:8" x14ac:dyDescent="0.3">
      <c r="A22" s="22" t="s">
        <v>12</v>
      </c>
      <c r="C22" s="21">
        <v>18700</v>
      </c>
      <c r="E22" t="s">
        <v>37</v>
      </c>
    </row>
    <row r="23" spans="1:8" x14ac:dyDescent="0.3">
      <c r="A23" s="22" t="s">
        <v>13</v>
      </c>
      <c r="C23" s="21">
        <v>40000</v>
      </c>
      <c r="E23" t="s">
        <v>37</v>
      </c>
    </row>
    <row r="24" spans="1:8" x14ac:dyDescent="0.3">
      <c r="A24" s="22" t="s">
        <v>14</v>
      </c>
      <c r="C24" s="21">
        <v>8000</v>
      </c>
      <c r="E24" t="s">
        <v>37</v>
      </c>
    </row>
    <row r="25" spans="1:8" x14ac:dyDescent="0.3">
      <c r="A25" s="22" t="s">
        <v>15</v>
      </c>
      <c r="C25" s="21">
        <v>100000</v>
      </c>
      <c r="E25" t="s">
        <v>37</v>
      </c>
    </row>
    <row r="26" spans="1:8" x14ac:dyDescent="0.3">
      <c r="A26" s="22" t="s">
        <v>16</v>
      </c>
      <c r="C26" s="21">
        <v>12100</v>
      </c>
      <c r="E26" t="s">
        <v>37</v>
      </c>
    </row>
    <row r="27" spans="1:8" x14ac:dyDescent="0.3">
      <c r="A27" s="22" t="s">
        <v>17</v>
      </c>
      <c r="C27" s="21">
        <v>5500</v>
      </c>
      <c r="E27" t="s">
        <v>37</v>
      </c>
    </row>
    <row r="28" spans="1:8" x14ac:dyDescent="0.3">
      <c r="A28" s="22" t="s">
        <v>18</v>
      </c>
      <c r="C28" s="21">
        <v>2700</v>
      </c>
      <c r="E28" t="s">
        <v>37</v>
      </c>
    </row>
    <row r="29" spans="1:8" x14ac:dyDescent="0.3">
      <c r="A29" s="23" t="s">
        <v>40</v>
      </c>
      <c r="B29" s="18"/>
      <c r="C29" s="24">
        <f>SUM(C19:C28)</f>
        <v>310000</v>
      </c>
    </row>
    <row r="30" spans="1:8" x14ac:dyDescent="0.3">
      <c r="A30" s="3"/>
    </row>
    <row r="31" spans="1:8" x14ac:dyDescent="0.3">
      <c r="A31" s="5" t="s">
        <v>96</v>
      </c>
      <c r="B31" s="4"/>
      <c r="C31" s="11">
        <f>C13+C29</f>
        <v>945000</v>
      </c>
    </row>
    <row r="32" spans="1:8" s="7" customFormat="1" x14ac:dyDescent="0.3">
      <c r="A32" s="9" t="s">
        <v>20</v>
      </c>
      <c r="C32" s="8"/>
    </row>
    <row r="33" spans="1:7" x14ac:dyDescent="0.3">
      <c r="D33" t="s">
        <v>45</v>
      </c>
    </row>
    <row r="34" spans="1:7" x14ac:dyDescent="0.3">
      <c r="A34" s="13" t="s">
        <v>64</v>
      </c>
      <c r="B34" s="14"/>
      <c r="C34" s="20">
        <v>27100</v>
      </c>
    </row>
    <row r="35" spans="1:7" x14ac:dyDescent="0.3">
      <c r="A35" s="32" t="s">
        <v>65</v>
      </c>
      <c r="B35" s="33"/>
      <c r="C35" s="50">
        <v>70000</v>
      </c>
    </row>
    <row r="36" spans="1:7" x14ac:dyDescent="0.3">
      <c r="A36" s="15" t="s">
        <v>66</v>
      </c>
      <c r="C36" s="21">
        <v>3510</v>
      </c>
    </row>
    <row r="37" spans="1:7" x14ac:dyDescent="0.3">
      <c r="A37" s="13" t="s">
        <v>0</v>
      </c>
      <c r="B37" s="14"/>
      <c r="C37" s="20">
        <v>5970</v>
      </c>
      <c r="D37" s="15"/>
      <c r="E37" t="s">
        <v>37</v>
      </c>
      <c r="F37" t="s">
        <v>37</v>
      </c>
      <c r="G37" t="s">
        <v>37</v>
      </c>
    </row>
    <row r="38" spans="1:7" x14ac:dyDescent="0.3">
      <c r="A38" s="15" t="s">
        <v>1</v>
      </c>
      <c r="C38" s="25">
        <v>11900</v>
      </c>
      <c r="D38" s="31">
        <v>6850</v>
      </c>
      <c r="E38" t="s">
        <v>37</v>
      </c>
      <c r="F38" t="s">
        <v>37</v>
      </c>
      <c r="G38" t="s">
        <v>37</v>
      </c>
    </row>
    <row r="39" spans="1:7" x14ac:dyDescent="0.3">
      <c r="A39" s="15" t="s">
        <v>2</v>
      </c>
      <c r="C39" s="16">
        <v>4207.5</v>
      </c>
      <c r="D39" s="31">
        <v>4207.5</v>
      </c>
      <c r="E39" t="s">
        <v>37</v>
      </c>
      <c r="F39" t="s">
        <v>37</v>
      </c>
      <c r="G39" t="s">
        <v>37</v>
      </c>
    </row>
    <row r="40" spans="1:7" x14ac:dyDescent="0.3">
      <c r="A40" s="15" t="s">
        <v>23</v>
      </c>
      <c r="C40" s="25">
        <v>2752</v>
      </c>
      <c r="D40" s="15"/>
      <c r="E40" t="s">
        <v>37</v>
      </c>
      <c r="F40" t="s">
        <v>37</v>
      </c>
      <c r="G40" t="s">
        <v>37</v>
      </c>
    </row>
    <row r="41" spans="1:7" x14ac:dyDescent="0.3">
      <c r="A41" s="15" t="s">
        <v>31</v>
      </c>
      <c r="C41" s="21">
        <v>3265.08</v>
      </c>
      <c r="D41" s="15"/>
      <c r="E41" t="s">
        <v>37</v>
      </c>
      <c r="F41" t="s">
        <v>37</v>
      </c>
      <c r="G41" t="s">
        <v>37</v>
      </c>
    </row>
    <row r="42" spans="1:7" x14ac:dyDescent="0.3">
      <c r="A42" s="15" t="s">
        <v>47</v>
      </c>
      <c r="C42" s="21">
        <v>600</v>
      </c>
      <c r="D42" s="15"/>
      <c r="E42" t="s">
        <v>37</v>
      </c>
      <c r="F42" t="s">
        <v>37</v>
      </c>
      <c r="G42" t="s">
        <v>37</v>
      </c>
    </row>
    <row r="43" spans="1:7" x14ac:dyDescent="0.3">
      <c r="A43" s="17" t="s">
        <v>42</v>
      </c>
      <c r="B43" s="18"/>
      <c r="C43" s="24">
        <f>SUM(C37:C42)</f>
        <v>28694.58</v>
      </c>
      <c r="D43" s="15"/>
    </row>
    <row r="45" spans="1:7" x14ac:dyDescent="0.3">
      <c r="A45" s="19" t="s">
        <v>30</v>
      </c>
      <c r="B45" s="14"/>
      <c r="C45" s="20"/>
    </row>
    <row r="46" spans="1:7" x14ac:dyDescent="0.3">
      <c r="A46" s="15" t="s">
        <v>32</v>
      </c>
      <c r="C46" s="21">
        <v>2560</v>
      </c>
      <c r="E46" t="s">
        <v>37</v>
      </c>
      <c r="F46" t="s">
        <v>37</v>
      </c>
      <c r="G46" t="s">
        <v>37</v>
      </c>
    </row>
    <row r="47" spans="1:7" ht="45" customHeight="1" x14ac:dyDescent="0.3">
      <c r="A47" s="22" t="s">
        <v>33</v>
      </c>
      <c r="C47" s="21">
        <v>3500</v>
      </c>
      <c r="E47" t="s">
        <v>37</v>
      </c>
      <c r="F47" t="s">
        <v>37</v>
      </c>
    </row>
    <row r="48" spans="1:7" ht="76.05" customHeight="1" x14ac:dyDescent="0.3">
      <c r="A48" s="22" t="s">
        <v>35</v>
      </c>
      <c r="C48" s="21">
        <v>2250</v>
      </c>
      <c r="E48" t="s">
        <v>37</v>
      </c>
      <c r="F48" t="s">
        <v>37</v>
      </c>
    </row>
    <row r="49" spans="1:7" ht="43.2" x14ac:dyDescent="0.3">
      <c r="A49" s="22" t="s">
        <v>34</v>
      </c>
      <c r="C49" s="21">
        <v>1500</v>
      </c>
      <c r="E49" t="s">
        <v>37</v>
      </c>
      <c r="F49" t="s">
        <v>37</v>
      </c>
    </row>
    <row r="50" spans="1:7" x14ac:dyDescent="0.3">
      <c r="A50" s="15" t="s">
        <v>3</v>
      </c>
      <c r="C50" s="21">
        <v>15400</v>
      </c>
      <c r="E50" t="s">
        <v>37</v>
      </c>
      <c r="F50" t="s">
        <v>37</v>
      </c>
    </row>
    <row r="51" spans="1:7" x14ac:dyDescent="0.3">
      <c r="A51" s="15" t="s">
        <v>24</v>
      </c>
      <c r="C51" s="21">
        <v>3800</v>
      </c>
      <c r="E51" t="s">
        <v>37</v>
      </c>
      <c r="F51" t="s">
        <v>37</v>
      </c>
    </row>
    <row r="52" spans="1:7" x14ac:dyDescent="0.3">
      <c r="A52" s="23" t="s">
        <v>41</v>
      </c>
      <c r="B52" s="18"/>
      <c r="C52" s="24">
        <f>SUM(C46:C51)</f>
        <v>29010</v>
      </c>
    </row>
    <row r="53" spans="1:7" x14ac:dyDescent="0.3">
      <c r="A53" s="4" t="s">
        <v>39</v>
      </c>
      <c r="B53" s="4"/>
      <c r="C53" s="11">
        <f>C43+C52</f>
        <v>57704.58</v>
      </c>
    </row>
    <row r="55" spans="1:7" s="7" customFormat="1" x14ac:dyDescent="0.3">
      <c r="A55" s="6" t="s">
        <v>21</v>
      </c>
      <c r="C55" s="8"/>
    </row>
    <row r="56" spans="1:7" x14ac:dyDescent="0.3">
      <c r="B56" t="s">
        <v>7</v>
      </c>
      <c r="C56" s="1" t="s">
        <v>67</v>
      </c>
      <c r="D56" t="s">
        <v>48</v>
      </c>
      <c r="G56" s="4" t="s">
        <v>77</v>
      </c>
    </row>
    <row r="57" spans="1:7" x14ac:dyDescent="0.3">
      <c r="A57" t="s">
        <v>5</v>
      </c>
      <c r="B57">
        <v>100</v>
      </c>
      <c r="C57" s="1">
        <v>99405</v>
      </c>
      <c r="D57" s="1">
        <v>99405</v>
      </c>
      <c r="E57" s="1"/>
    </row>
    <row r="58" spans="1:7" x14ac:dyDescent="0.3">
      <c r="A58" t="s">
        <v>51</v>
      </c>
      <c r="B58">
        <v>100</v>
      </c>
      <c r="C58" s="1">
        <v>60450</v>
      </c>
      <c r="D58" s="1">
        <v>60450</v>
      </c>
      <c r="E58" s="1"/>
      <c r="G58" s="42" t="s">
        <v>71</v>
      </c>
    </row>
    <row r="59" spans="1:7" x14ac:dyDescent="0.3">
      <c r="A59" t="s">
        <v>25</v>
      </c>
      <c r="B59">
        <v>80</v>
      </c>
      <c r="C59" s="1">
        <f>0.2*C13</f>
        <v>127000</v>
      </c>
      <c r="D59" s="1">
        <f>0.4*C15</f>
        <v>282600</v>
      </c>
      <c r="E59" s="1"/>
      <c r="F59" t="s">
        <v>57</v>
      </c>
      <c r="G59" s="42" t="s">
        <v>72</v>
      </c>
    </row>
    <row r="60" spans="1:7" x14ac:dyDescent="0.3">
      <c r="A60" t="s">
        <v>58</v>
      </c>
      <c r="G60" s="42" t="s">
        <v>56</v>
      </c>
    </row>
    <row r="61" spans="1:7" x14ac:dyDescent="0.3">
      <c r="A61" t="s">
        <v>4</v>
      </c>
      <c r="C61" s="1">
        <f>0.8*$C$36+0.65*$C$34</f>
        <v>20423</v>
      </c>
      <c r="D61" s="1">
        <f>0.8*$C$36+0.65*$C$34</f>
        <v>20423</v>
      </c>
      <c r="F61" t="s">
        <v>57</v>
      </c>
      <c r="G61" s="42"/>
    </row>
    <row r="62" spans="1:7" x14ac:dyDescent="0.3">
      <c r="A62" t="s">
        <v>55</v>
      </c>
      <c r="B62">
        <v>50</v>
      </c>
      <c r="G62" s="42" t="s">
        <v>56</v>
      </c>
    </row>
    <row r="63" spans="1:7" x14ac:dyDescent="0.3">
      <c r="A63" t="s">
        <v>3</v>
      </c>
      <c r="B63">
        <v>100</v>
      </c>
      <c r="C63" s="1">
        <v>25000</v>
      </c>
      <c r="D63" s="1">
        <v>25000</v>
      </c>
      <c r="E63" s="1"/>
      <c r="G63" s="42"/>
    </row>
    <row r="64" spans="1:7" x14ac:dyDescent="0.3">
      <c r="A64" t="s">
        <v>26</v>
      </c>
      <c r="B64">
        <v>50</v>
      </c>
      <c r="C64" s="1">
        <f>0.5*125000</f>
        <v>62500</v>
      </c>
      <c r="D64" s="29">
        <v>124000</v>
      </c>
      <c r="F64" t="s">
        <v>57</v>
      </c>
      <c r="G64" s="42" t="s">
        <v>69</v>
      </c>
    </row>
    <row r="65" spans="1:6" x14ac:dyDescent="0.3">
      <c r="A65" t="s">
        <v>68</v>
      </c>
      <c r="C65" s="1" t="s">
        <v>78</v>
      </c>
      <c r="D65" t="s">
        <v>78</v>
      </c>
    </row>
    <row r="66" spans="1:6" x14ac:dyDescent="0.3">
      <c r="A66" t="s">
        <v>49</v>
      </c>
      <c r="B66">
        <v>30</v>
      </c>
      <c r="C66" s="1">
        <v>5000</v>
      </c>
      <c r="D66" s="1">
        <v>5000</v>
      </c>
      <c r="E66" s="1"/>
      <c r="F66" t="s">
        <v>94</v>
      </c>
    </row>
    <row r="67" spans="1:6" x14ac:dyDescent="0.3">
      <c r="A67" t="s">
        <v>27</v>
      </c>
      <c r="D67" s="1"/>
      <c r="E67" s="1"/>
      <c r="F67" s="1"/>
    </row>
    <row r="68" spans="1:6" x14ac:dyDescent="0.3">
      <c r="A68" s="12" t="s">
        <v>52</v>
      </c>
      <c r="D68" s="29"/>
    </row>
    <row r="69" spans="1:6" x14ac:dyDescent="0.3">
      <c r="A69" s="12" t="s">
        <v>54</v>
      </c>
    </row>
    <row r="70" spans="1:6" x14ac:dyDescent="0.3">
      <c r="A70" s="12" t="s">
        <v>28</v>
      </c>
      <c r="B70" s="4"/>
      <c r="C70" s="10"/>
      <c r="D70" s="4"/>
    </row>
    <row r="71" spans="1:6" ht="15" thickBot="1" x14ac:dyDescent="0.35">
      <c r="A71" s="12" t="s">
        <v>29</v>
      </c>
    </row>
    <row r="72" spans="1:6" ht="15" thickBot="1" x14ac:dyDescent="0.35">
      <c r="A72" s="38" t="s">
        <v>6</v>
      </c>
      <c r="B72" s="39"/>
      <c r="C72" s="41">
        <f>SUM(C57:C71)</f>
        <v>399778</v>
      </c>
      <c r="D72" s="40">
        <f>SUM(D57:D71)</f>
        <v>616878</v>
      </c>
      <c r="E72" s="1"/>
    </row>
    <row r="74" spans="1:6" x14ac:dyDescent="0.3">
      <c r="A74" t="s">
        <v>50</v>
      </c>
      <c r="D74" s="10">
        <f>0.8*C15</f>
        <v>565200</v>
      </c>
    </row>
    <row r="76" spans="1:6" x14ac:dyDescent="0.3">
      <c r="F76" t="s">
        <v>93</v>
      </c>
    </row>
    <row r="78" spans="1:6" hidden="1" x14ac:dyDescent="0.3">
      <c r="A78" t="s">
        <v>53</v>
      </c>
    </row>
    <row r="79" spans="1:6" hidden="1" x14ac:dyDescent="0.3"/>
    <row r="80" spans="1:6" hidden="1" x14ac:dyDescent="0.3">
      <c r="A80" t="s">
        <v>46</v>
      </c>
      <c r="C80" s="1">
        <v>8000</v>
      </c>
    </row>
    <row r="81" spans="3:3" hidden="1" x14ac:dyDescent="0.3">
      <c r="C81" s="1">
        <f>0.5*(C46+C47+C48+C49+C50+C51)</f>
        <v>14505</v>
      </c>
    </row>
  </sheetData>
  <mergeCells count="2">
    <mergeCell ref="I9:J10"/>
    <mergeCell ref="I11:J11"/>
  </mergeCells>
  <conditionalFormatting sqref="C59:E59">
    <cfRule type="dataBar" priority="2">
      <dataBar>
        <cfvo type="min"/>
        <cfvo type="max"/>
        <color rgb="FFFF555A"/>
      </dataBar>
      <extLst>
        <ext xmlns:x14="http://schemas.microsoft.com/office/spreadsheetml/2009/9/main" uri="{B025F937-C7B1-47D3-B67F-A62EFF666E3E}">
          <x14:id>{26674099-5E30-45DF-91CD-F2D6C2D0B552}</x14:id>
        </ext>
      </extLst>
    </cfRule>
  </conditionalFormatting>
  <conditionalFormatting sqref="E7:G10">
    <cfRule type="cellIs" dxfId="1" priority="1" operator="lessThan">
      <formula>300000</formula>
    </cfRule>
    <cfRule type="cellIs" dxfId="0" priority="3" operator="greaterThan">
      <formula>400000</formula>
    </cfRule>
  </conditionalFormatting>
  <pageMargins left="0.25" right="0.25" top="0.75" bottom="0.75" header="0.3" footer="0.3"/>
  <pageSetup paperSize="9" scale="39" fitToHeight="0"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26674099-5E30-45DF-91CD-F2D6C2D0B552}">
            <x14:dataBar minLength="0" maxLength="100" border="1" negativeBarBorderColorSameAsPositive="0">
              <x14:cfvo type="autoMin"/>
              <x14:cfvo type="autoMax"/>
              <x14:borderColor rgb="FFFF555A"/>
              <x14:negativeFillColor rgb="FFFF0000"/>
              <x14:negativeBorderColor rgb="FFFF0000"/>
              <x14:axisColor rgb="FF000000"/>
            </x14:dataBar>
          </x14:cfRule>
          <xm:sqref>C59:E59</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196-19B4-41E6-A8B6-2401B24033E1}">
  <dimension ref="A1:H25"/>
  <sheetViews>
    <sheetView workbookViewId="0">
      <selection activeCell="A28" sqref="A28"/>
    </sheetView>
  </sheetViews>
  <sheetFormatPr baseColWidth="10" defaultRowHeight="14.4" x14ac:dyDescent="0.3"/>
  <cols>
    <col min="2" max="2" width="12.33203125" bestFit="1" customWidth="1"/>
    <col min="3" max="3" width="15.5546875" customWidth="1"/>
    <col min="8" max="8" width="84.77734375" customWidth="1"/>
  </cols>
  <sheetData>
    <row r="1" spans="1:8" x14ac:dyDescent="0.3">
      <c r="A1" t="s">
        <v>79</v>
      </c>
      <c r="B1" s="45"/>
    </row>
    <row r="2" spans="1:8" x14ac:dyDescent="0.3">
      <c r="A2">
        <v>1</v>
      </c>
      <c r="B2" s="29">
        <v>49000</v>
      </c>
      <c r="C2" s="29">
        <v>49000</v>
      </c>
    </row>
    <row r="3" spans="1:8" ht="38.549999999999997" customHeight="1" x14ac:dyDescent="0.3">
      <c r="A3">
        <v>2</v>
      </c>
      <c r="B3" s="29">
        <v>129000</v>
      </c>
      <c r="C3" s="29">
        <f>4000+2000</f>
        <v>6000</v>
      </c>
      <c r="H3" s="2" t="s">
        <v>85</v>
      </c>
    </row>
    <row r="4" spans="1:8" x14ac:dyDescent="0.3">
      <c r="A4" s="47" t="s">
        <v>83</v>
      </c>
      <c r="B4" s="29">
        <v>11000</v>
      </c>
      <c r="C4" s="29"/>
      <c r="H4" t="s">
        <v>80</v>
      </c>
    </row>
    <row r="5" spans="1:8" x14ac:dyDescent="0.3">
      <c r="A5" s="47" t="s">
        <v>84</v>
      </c>
      <c r="B5" s="29">
        <v>30000</v>
      </c>
      <c r="C5" s="29"/>
    </row>
    <row r="6" spans="1:8" x14ac:dyDescent="0.3">
      <c r="A6">
        <v>4</v>
      </c>
      <c r="B6" s="29">
        <v>18000</v>
      </c>
      <c r="C6" s="29">
        <v>10000</v>
      </c>
      <c r="H6" t="s">
        <v>81</v>
      </c>
    </row>
    <row r="7" spans="1:8" x14ac:dyDescent="0.3">
      <c r="A7">
        <v>5</v>
      </c>
      <c r="B7" s="29">
        <v>69500</v>
      </c>
      <c r="C7" s="29">
        <f>24*400</f>
        <v>9600</v>
      </c>
      <c r="H7" t="s">
        <v>82</v>
      </c>
    </row>
    <row r="8" spans="1:8" x14ac:dyDescent="0.3">
      <c r="A8">
        <v>6</v>
      </c>
      <c r="B8" s="29">
        <v>53000</v>
      </c>
      <c r="C8" s="29"/>
    </row>
    <row r="9" spans="1:8" x14ac:dyDescent="0.3">
      <c r="A9">
        <v>7</v>
      </c>
      <c r="B9" s="29">
        <v>90000</v>
      </c>
      <c r="C9" s="29"/>
    </row>
    <row r="10" spans="1:8" x14ac:dyDescent="0.3">
      <c r="A10">
        <v>8</v>
      </c>
      <c r="B10" s="29">
        <v>33000</v>
      </c>
      <c r="C10" s="29">
        <v>10000</v>
      </c>
      <c r="H10" t="s">
        <v>86</v>
      </c>
    </row>
    <row r="11" spans="1:8" x14ac:dyDescent="0.3">
      <c r="A11">
        <v>9</v>
      </c>
      <c r="B11" s="29">
        <v>10500</v>
      </c>
      <c r="C11" s="29">
        <v>3000</v>
      </c>
      <c r="H11" t="s">
        <v>87</v>
      </c>
    </row>
    <row r="12" spans="1:8" x14ac:dyDescent="0.3">
      <c r="A12">
        <v>10</v>
      </c>
      <c r="B12" s="29">
        <v>26500</v>
      </c>
      <c r="C12" s="29"/>
    </row>
    <row r="13" spans="1:8" x14ac:dyDescent="0.3">
      <c r="A13">
        <v>11</v>
      </c>
      <c r="B13" s="139">
        <v>187000</v>
      </c>
      <c r="C13" s="29"/>
    </row>
    <row r="14" spans="1:8" x14ac:dyDescent="0.3">
      <c r="A14">
        <v>12</v>
      </c>
      <c r="B14" s="139"/>
      <c r="C14" s="29"/>
    </row>
    <row r="15" spans="1:8" x14ac:dyDescent="0.3">
      <c r="B15" s="29"/>
      <c r="C15" s="29"/>
    </row>
    <row r="17" spans="1:3" x14ac:dyDescent="0.3">
      <c r="A17" t="s">
        <v>22</v>
      </c>
      <c r="B17" s="46">
        <f>SUM(B2:B14)</f>
        <v>706500</v>
      </c>
      <c r="C17" s="46">
        <f>SUM(C2:C14)</f>
        <v>87600</v>
      </c>
    </row>
    <row r="23" spans="1:3" x14ac:dyDescent="0.3">
      <c r="A23" t="s">
        <v>88</v>
      </c>
    </row>
    <row r="24" spans="1:3" x14ac:dyDescent="0.3">
      <c r="A24" t="s">
        <v>89</v>
      </c>
    </row>
    <row r="25" spans="1:3" x14ac:dyDescent="0.3">
      <c r="A25" t="s">
        <v>90</v>
      </c>
    </row>
  </sheetData>
  <mergeCells count="1">
    <mergeCell ref="B13:B14"/>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91e6c71-115c-4ffd-832d-0cdb804ef50e">
      <Terms xmlns="http://schemas.microsoft.com/office/infopath/2007/PartnerControls"/>
    </lcf76f155ced4ddcb4097134ff3c332f>
    <TaxCatchAll xmlns="96ac35d6-1358-4c48-9f11-c71e0bfd053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D11CEAB66C174CA9FB69B00939F2FF" ma:contentTypeVersion="16" ma:contentTypeDescription="Crée un document." ma:contentTypeScope="" ma:versionID="5b3927bb7eb34219114249121c58358f">
  <xsd:schema xmlns:xsd="http://www.w3.org/2001/XMLSchema" xmlns:xs="http://www.w3.org/2001/XMLSchema" xmlns:p="http://schemas.microsoft.com/office/2006/metadata/properties" xmlns:ns2="d91e6c71-115c-4ffd-832d-0cdb804ef50e" xmlns:ns3="96ac35d6-1358-4c48-9f11-c71e0bfd0537" targetNamespace="http://schemas.microsoft.com/office/2006/metadata/properties" ma:root="true" ma:fieldsID="41d98dc00d976cdde271f02408f8e68b" ns2:_="" ns3:_="">
    <xsd:import namespace="d91e6c71-115c-4ffd-832d-0cdb804ef50e"/>
    <xsd:import namespace="96ac35d6-1358-4c48-9f11-c71e0bfd053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1e6c71-115c-4ffd-832d-0cdb804ef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ca75be5-6f7d-4371-9760-e19e7245c017"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c35d6-1358-4c48-9f11-c71e0bfd053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8eb37eb-6bc2-4324-a9b3-e06862a5a805}" ma:internalName="TaxCatchAll" ma:showField="CatchAllData" ma:web="96ac35d6-1358-4c48-9f11-c71e0bfd05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82D54A-04A8-4092-B537-C89E65C4FEC6}">
  <ds:schemaRefs>
    <ds:schemaRef ds:uri="http://schemas.microsoft.com/office/2006/metadata/properties"/>
    <ds:schemaRef ds:uri="http://schemas.microsoft.com/office/infopath/2007/PartnerControls"/>
    <ds:schemaRef ds:uri="f4741ee8-fdf8-4f77-b805-7d7c6e4bc98c"/>
    <ds:schemaRef ds:uri="1d54d186-bed3-49b3-a45d-dd4ed48338a6"/>
    <ds:schemaRef ds:uri="d91e6c71-115c-4ffd-832d-0cdb804ef50e"/>
    <ds:schemaRef ds:uri="96ac35d6-1358-4c48-9f11-c71e0bfd0537"/>
  </ds:schemaRefs>
</ds:datastoreItem>
</file>

<file path=customXml/itemProps2.xml><?xml version="1.0" encoding="utf-8"?>
<ds:datastoreItem xmlns:ds="http://schemas.openxmlformats.org/officeDocument/2006/customXml" ds:itemID="{FFE96444-48E4-43DD-AFD3-FF4CDD812460}">
  <ds:schemaRefs>
    <ds:schemaRef ds:uri="http://schemas.microsoft.com/sharepoint/v3/contenttype/forms"/>
  </ds:schemaRefs>
</ds:datastoreItem>
</file>

<file path=customXml/itemProps3.xml><?xml version="1.0" encoding="utf-8"?>
<ds:datastoreItem xmlns:ds="http://schemas.openxmlformats.org/officeDocument/2006/customXml" ds:itemID="{DAC0A190-FAF1-45D4-BA71-FFD3E0EDFB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1e6c71-115c-4ffd-832d-0cdb804ef50e"/>
    <ds:schemaRef ds:uri="96ac35d6-1358-4c48-9f11-c71e0bfd05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CHIFFRAGE PROJET</vt:lpstr>
      <vt:lpstr>Resume (2)</vt:lpstr>
      <vt:lpstr>Resume</vt:lpstr>
      <vt:lpstr>Chiffrage</vt:lpstr>
      <vt:lpstr>Feuil3</vt:lpstr>
      <vt:lpstr>Feuil1 (4)</vt:lpstr>
      <vt:lpstr>Feuil1</vt:lpstr>
      <vt:lpstr>Feuil1 (2)</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Delphine Denis</dc:creator>
  <cp:lastModifiedBy>Julie POISSON</cp:lastModifiedBy>
  <cp:lastPrinted>2025-10-09T13:31:28Z</cp:lastPrinted>
  <dcterms:created xsi:type="dcterms:W3CDTF">2025-07-24T10:04:31Z</dcterms:created>
  <dcterms:modified xsi:type="dcterms:W3CDTF">2026-09-27T15:34:10Z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0x010100E6D11CEAB66C174CA9FB69B00939F2FF</vt:lpwstr>
  </property>
  <property fmtid="{D5CDD505-2E9C-101B-9397-08002B2CF9AE}" pid="3" name="MediaServiceImageTags">
    <vt:lpwstr/>
  </property>
</Properties>
</file>