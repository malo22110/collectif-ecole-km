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0" ContentType="application/binary"/>
  <Override PartName="/xl/commentsmeta4"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ssociationfb2.sharepoint.com/sites/fb2/Shared Documents/7 AMI 2024/4_Accompagnement/22 Kergrist-Moelou Ecole/3_Subventions/"/>
    </mc:Choice>
  </mc:AlternateContent>
  <xr:revisionPtr revIDLastSave="2" documentId="11_1A55A8F9FBAB2CE9F0423D3754862990500A3F9B" xr6:coauthVersionLast="47" xr6:coauthVersionMax="47" xr10:uidLastSave="{6C619954-A382-458F-BFD6-EE1B3FD0CE35}"/>
  <bookViews>
    <workbookView xWindow="-108" yWindow="-108" windowWidth="23256" windowHeight="12456" xr2:uid="{00000000-000D-0000-FFFF-FFFF00000000}"/>
  </bookViews>
  <sheets>
    <sheet name="Tableau FV" sheetId="1" r:id="rId1"/>
    <sheet name="Chiffrage" sheetId="2" state="hidden" r:id="rId2"/>
    <sheet name="Feuil4" sheetId="3" state="hidden" r:id="rId3"/>
    <sheet name="Feuil1 (4)" sheetId="4" state="hidden" r:id="rId4"/>
    <sheet name="Feuil1" sheetId="5" state="hidden" r:id="rId5"/>
    <sheet name="Feuil1 (2)" sheetId="6" state="hidden" r:id="rId6"/>
    <sheet name="Feuil2" sheetId="7"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AktoUytJpn3Fpim8eSIcH5yP5Z6G4f2nOU/e1UIrV/w="/>
    </ext>
  </extLst>
</workbook>
</file>

<file path=xl/calcChain.xml><?xml version="1.0" encoding="utf-8"?>
<calcChain xmlns="http://schemas.openxmlformats.org/spreadsheetml/2006/main">
  <c r="D23" i="1" l="1"/>
  <c r="C17" i="7"/>
  <c r="B17" i="7"/>
  <c r="C7" i="7"/>
  <c r="C3" i="7"/>
  <c r="C81" i="6"/>
  <c r="D74" i="6"/>
  <c r="C64" i="6"/>
  <c r="D61" i="6"/>
  <c r="C61" i="6"/>
  <c r="D59" i="6"/>
  <c r="D72" i="6" s="1"/>
  <c r="C52" i="6"/>
  <c r="C43" i="6"/>
  <c r="C53" i="6" s="1"/>
  <c r="F2" i="6" s="1"/>
  <c r="C29" i="6"/>
  <c r="G20" i="6"/>
  <c r="G21" i="6" s="1"/>
  <c r="C16" i="6"/>
  <c r="C13" i="6"/>
  <c r="G2" i="6"/>
  <c r="C81" i="5"/>
  <c r="D74" i="5"/>
  <c r="C64" i="5"/>
  <c r="D61" i="5"/>
  <c r="C61" i="5"/>
  <c r="D59" i="5"/>
  <c r="D72" i="5" s="1"/>
  <c r="C59" i="5"/>
  <c r="C72" i="5" s="1"/>
  <c r="C52" i="5"/>
  <c r="C43" i="5"/>
  <c r="C53" i="5" s="1"/>
  <c r="F2" i="5" s="1"/>
  <c r="C29" i="5"/>
  <c r="C31" i="5" s="1"/>
  <c r="C2" i="5" s="1"/>
  <c r="E2" i="5" s="1"/>
  <c r="G20" i="5"/>
  <c r="G21" i="5" s="1"/>
  <c r="C16" i="5"/>
  <c r="C13" i="5"/>
  <c r="C14" i="5" s="1"/>
  <c r="G2" i="5"/>
  <c r="D77" i="4"/>
  <c r="D75" i="4"/>
  <c r="C75" i="4"/>
  <c r="D68" i="4"/>
  <c r="C68" i="4"/>
  <c r="C66" i="4"/>
  <c r="D62" i="4"/>
  <c r="C62" i="4"/>
  <c r="D60" i="4"/>
  <c r="C60" i="4"/>
  <c r="C53" i="4"/>
  <c r="C38" i="4"/>
  <c r="C44" i="4" s="1"/>
  <c r="C30" i="4"/>
  <c r="C32" i="4" s="1"/>
  <c r="C17" i="4"/>
  <c r="C14" i="4"/>
  <c r="C15" i="4" s="1"/>
  <c r="K4" i="4"/>
  <c r="J4" i="4"/>
  <c r="I4" i="4"/>
  <c r="F2" i="4"/>
  <c r="A90" i="2"/>
  <c r="A89" i="2"/>
  <c r="A91" i="2" s="1"/>
  <c r="D78" i="2"/>
  <c r="C66" i="2"/>
  <c r="D62" i="2"/>
  <c r="C62" i="2"/>
  <c r="C61" i="2"/>
  <c r="D60" i="2"/>
  <c r="D72" i="2" s="1"/>
  <c r="E4" i="2" s="1"/>
  <c r="C60" i="2"/>
  <c r="C72" i="2" s="1"/>
  <c r="E3" i="2" s="1"/>
  <c r="C53" i="2"/>
  <c r="C38" i="2"/>
  <c r="C46" i="2" s="1"/>
  <c r="G32" i="2"/>
  <c r="F32" i="2"/>
  <c r="I5" i="2" s="1"/>
  <c r="C30" i="2"/>
  <c r="E32" i="2" s="1"/>
  <c r="C14" i="2"/>
  <c r="C15" i="2" s="1"/>
  <c r="K4" i="2"/>
  <c r="J5" i="2" s="1"/>
  <c r="I4" i="2"/>
  <c r="J4" i="2" s="1"/>
  <c r="C38" i="1"/>
  <c r="D36" i="1"/>
  <c r="D32" i="1"/>
  <c r="C16" i="1"/>
  <c r="C12" i="1"/>
  <c r="D13" i="1" s="1"/>
  <c r="D8" i="1"/>
  <c r="E10" i="1" s="1"/>
  <c r="G10" i="1" s="1"/>
  <c r="G4" i="6" l="1"/>
  <c r="E4" i="6"/>
  <c r="F4" i="6"/>
  <c r="F8" i="6" s="1"/>
  <c r="F10" i="6" s="1"/>
  <c r="F11" i="6" s="1"/>
  <c r="C14" i="6"/>
  <c r="C31" i="6"/>
  <c r="C2" i="6" s="1"/>
  <c r="E2" i="6" s="1"/>
  <c r="C59" i="6"/>
  <c r="C72" i="6" s="1"/>
  <c r="G8" i="6"/>
  <c r="G10" i="6" s="1"/>
  <c r="G11" i="6" s="1"/>
  <c r="E4" i="5"/>
  <c r="F4" i="5"/>
  <c r="F8" i="5" s="1"/>
  <c r="F10" i="5" s="1"/>
  <c r="F11" i="5" s="1"/>
  <c r="G4" i="5"/>
  <c r="G3" i="5"/>
  <c r="E3" i="5"/>
  <c r="F3" i="5"/>
  <c r="F7" i="5"/>
  <c r="F9" i="5" s="1"/>
  <c r="E7" i="5"/>
  <c r="E9" i="5" s="1"/>
  <c r="E8" i="5"/>
  <c r="E10" i="5" s="1"/>
  <c r="E11" i="5" s="1"/>
  <c r="G8" i="5"/>
  <c r="G10" i="5" s="1"/>
  <c r="G11" i="5" s="1"/>
  <c r="G7" i="5"/>
  <c r="G9" i="5" s="1"/>
  <c r="E4" i="4"/>
  <c r="E8" i="4" s="1"/>
  <c r="E10" i="4" s="1"/>
  <c r="E11" i="4" s="1"/>
  <c r="F4" i="4"/>
  <c r="F8" i="4" s="1"/>
  <c r="F10" i="4" s="1"/>
  <c r="F11" i="4" s="1"/>
  <c r="G4" i="4"/>
  <c r="E3" i="4"/>
  <c r="F3" i="4"/>
  <c r="F7" i="4" s="1"/>
  <c r="F9" i="4" s="1"/>
  <c r="G3" i="4"/>
  <c r="C54" i="4"/>
  <c r="C2" i="4" s="1"/>
  <c r="E2" i="4" s="1"/>
  <c r="G2" i="4"/>
  <c r="E7" i="4"/>
  <c r="E9" i="4" s="1"/>
  <c r="D46" i="2"/>
  <c r="E54" i="2"/>
  <c r="F54" i="2"/>
  <c r="G54" i="2"/>
  <c r="G2" i="2" s="1"/>
  <c r="G8" i="2" s="1"/>
  <c r="G7" i="2"/>
  <c r="E8" i="6" l="1"/>
  <c r="E10" i="6" s="1"/>
  <c r="E11" i="6" s="1"/>
  <c r="E3" i="6"/>
  <c r="E7" i="6" s="1"/>
  <c r="E9" i="6" s="1"/>
  <c r="G3" i="6"/>
  <c r="G7" i="6" s="1"/>
  <c r="G9" i="6" s="1"/>
  <c r="F3" i="6"/>
  <c r="F7" i="6" s="1"/>
  <c r="F9" i="6" s="1"/>
  <c r="G7" i="4"/>
  <c r="G9" i="4" s="1"/>
  <c r="G8" i="4"/>
  <c r="G10" i="4" s="1"/>
  <c r="G11" i="4" s="1"/>
  <c r="C2" i="2"/>
  <c r="E2" i="2" s="1"/>
  <c r="F2" i="2"/>
  <c r="H7" i="2"/>
  <c r="G9" i="2"/>
  <c r="H9" i="2" s="1"/>
  <c r="H8" i="2"/>
  <c r="G10" i="2"/>
  <c r="E8" i="2" l="1"/>
  <c r="E10" i="2" s="1"/>
  <c r="E11" i="2" s="1"/>
  <c r="E7" i="2"/>
  <c r="E9" i="2" s="1"/>
  <c r="F7" i="2"/>
  <c r="F9" i="2" s="1"/>
  <c r="F8" i="2"/>
  <c r="F10" i="2" s="1"/>
  <c r="F11" i="2" s="1"/>
  <c r="H10" i="2"/>
  <c r="G11" i="2"/>
  <c r="H1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9" authorId="0" shapeId="0" xr:uid="{00000000-0006-0000-0100-000006000000}">
      <text>
        <r>
          <rPr>
            <sz val="11"/>
            <color theme="1"/>
            <rFont val="Aptos Narrow"/>
            <scheme val="minor"/>
          </rPr>
          <t>======
ID#AAACHq0BORY
Utilisateur    (2026-09-27 12:52:48)
Revoyure ?</t>
        </r>
      </text>
    </comment>
    <comment ref="A61" authorId="0" shapeId="0" xr:uid="{00000000-0006-0000-0100-000005000000}">
      <text>
        <r>
          <rPr>
            <sz val="11"/>
            <color theme="1"/>
            <rFont val="Aptos Narrow"/>
            <scheme val="minor"/>
          </rPr>
          <t>======
ID#AAACHq0BOTQ
Utilisateur    (2026-09-27 12:52:48)
La circulaire du 28 février 2025 précise que les subventions de la DSIL, de la DETR, de la DSID et
de la DPV sont prioritairement mobilisées lorsque les demandes de subvention pour la rénovation
énergétique portent sur les bâtiments scolaires. Dans ce cadre, il est demandé de continuer de
veiller à l’ambition écologique des projets en se référant au présent cahier d’accompagnement,
en particulier concernant l’objectif d’économie d’énergie de 40 % et la prise en compte du
confort d’été.</t>
        </r>
      </text>
    </comment>
    <comment ref="A62" authorId="0" shapeId="0" xr:uid="{00000000-0006-0000-0100-000004000000}">
      <text>
        <r>
          <rPr>
            <sz val="11"/>
            <color theme="1"/>
            <rFont val="Aptos Narrow"/>
            <scheme val="minor"/>
          </rPr>
          <t>======
ID#AAACHq0BORE
Utilisateur    (2026-09-27 12:52:48)
Audit de l'école :  Coût 3510 € HT prise en charge 80% soit 2808 €
Il y a aussi l'audit de la cantine (et des logements) mais en compta analytique, c'est mieux de tout séparer donc rester sur l'école
Mission AMO Kerlotec coût 27 100 € HT prise en charge 65% soit 17 615 €
Mission MOE 45 € du m² soit 310*45 = 13 950 €</t>
        </r>
      </text>
    </comment>
    <comment ref="A65" authorId="0" shapeId="0" xr:uid="{00000000-0006-0000-0100-000002000000}">
      <text>
        <r>
          <rPr>
            <sz val="11"/>
            <color theme="1"/>
            <rFont val="Aptos Narrow"/>
            <scheme val="minor"/>
          </rPr>
          <t>======
ID#AAACHq0BORM
Utilisateur    (2026-09-27 12:52:48)
Ajout d'étude</t>
        </r>
      </text>
    </comment>
    <comment ref="C66" authorId="0" shapeId="0" xr:uid="{00000000-0006-0000-0100-000003000000}">
      <text>
        <r>
          <rPr>
            <sz val="11"/>
            <color theme="1"/>
            <rFont val="Aptos Narrow"/>
            <scheme val="minor"/>
          </rPr>
          <t>======
ID#AAACHq0BORg
tc={21B935C1-6C53-47A9-AF56-C6AAE9862189}    (2026-09-27 12:52:48)
[Commentaire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ITI + VMC/chaudiere</t>
        </r>
      </text>
    </comment>
    <comment ref="C67" authorId="0" shapeId="0" xr:uid="{00000000-0006-0000-0100-000001000000}">
      <text>
        <r>
          <rPr>
            <sz val="11"/>
            <color theme="1"/>
            <rFont val="Aptos Narrow"/>
            <scheme val="minor"/>
          </rPr>
          <t>======
ID#AAACHq0BORo
tc={506EA3C1-1CEB-41F2-82E7-537AC40BE12E}    (2026-09-27 12:52:48)
[Commentaire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Stricte minimum de la subvention</t>
        </r>
      </text>
    </comment>
  </commentList>
  <extLst>
    <ext xmlns:r="http://schemas.openxmlformats.org/officeDocument/2006/relationships" uri="GoogleSheetsCustomDataVersion2">
      <go:sheetsCustomData xmlns:go="http://customooxmlschemas.google.com/" r:id="rId1" roundtripDataSignature="AMtx7mi1omWW17KiQ49yI5DUeEBy+nj7L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59" authorId="0" shapeId="0" xr:uid="{00000000-0006-0000-0300-000006000000}">
      <text>
        <r>
          <rPr>
            <sz val="11"/>
            <color theme="1"/>
            <rFont val="Aptos Narrow"/>
            <scheme val="minor"/>
          </rPr>
          <t>======
ID#AAACHq0BOTM
Utilisateur    (2026-09-27 12:52:48)
Revoyure ?</t>
        </r>
      </text>
    </comment>
    <comment ref="D60" authorId="0" shapeId="0" xr:uid="{00000000-0006-0000-0300-000007000000}">
      <text>
        <r>
          <rPr>
            <sz val="11"/>
            <color theme="1"/>
            <rFont val="Aptos Narrow"/>
            <scheme val="minor"/>
          </rPr>
          <t>======
ID#AAACHq0BORk
tc={7959A7D2-1135-490A-B741-4329FE1EACB1}    (2026-09-27 12:52:48)
[Commentaire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40 % de subvention DETR</t>
        </r>
      </text>
    </comment>
    <comment ref="A61" authorId="0" shapeId="0" xr:uid="{00000000-0006-0000-0300-000005000000}">
      <text>
        <r>
          <rPr>
            <sz val="11"/>
            <color theme="1"/>
            <rFont val="Aptos Narrow"/>
            <scheme val="minor"/>
          </rPr>
          <t>======
ID#AAACHq0BOS8
Utilisateur    (2026-09-27 12:52:48)
La circulaire du 28 février 2025 précise que les subventions de la DSIL, de la DETR, de la DSID et
de la DPV sont prioritairement mobilisées lorsque les demandes de subvention pour la rénovation
énergétique portent sur les bâtiments scolaires. Dans ce cadre, il est demandé de continuer de
veiller à l’ambition écologique des projets en se référant au présent cahier d’accompagnement,
en particulier concernant l’objectif d’économie d’énergie de 40 % et la prise en compte du
confort d’été.</t>
        </r>
      </text>
    </comment>
    <comment ref="A62" authorId="0" shapeId="0" xr:uid="{00000000-0006-0000-0300-000004000000}">
      <text>
        <r>
          <rPr>
            <sz val="11"/>
            <color theme="1"/>
            <rFont val="Aptos Narrow"/>
            <scheme val="minor"/>
          </rPr>
          <t>======
ID#AAACHq0BOTo
Utilisateur    (2026-09-27 12:52:48)
Audit de l'école :  Coût 3510 € HT prise en charge 80% soit 2808 €
Il y a aussi l'audit de la cantine (et des logements) mais en compta analytique, c'est mieux de tout séparer donc rester sur l'école
Mission AMO Kerlotec coût 27 100 € HT prise en charge 65% soit 17 615 €
Mission MOE 45 € du m² soit 310*45 = 13 950 €</t>
        </r>
      </text>
    </comment>
    <comment ref="A65" authorId="0" shapeId="0" xr:uid="{00000000-0006-0000-0300-000002000000}">
      <text>
        <r>
          <rPr>
            <sz val="11"/>
            <color theme="1"/>
            <rFont val="Aptos Narrow"/>
            <scheme val="minor"/>
          </rPr>
          <t>======
ID#AAACHq0BORQ
Utilisateur    (2026-09-27 12:52:48)
Ajout d'étude</t>
        </r>
      </text>
    </comment>
    <comment ref="C66" authorId="0" shapeId="0" xr:uid="{00000000-0006-0000-0300-000003000000}">
      <text>
        <r>
          <rPr>
            <sz val="11"/>
            <color theme="1"/>
            <rFont val="Aptos Narrow"/>
            <scheme val="minor"/>
          </rPr>
          <t>======
ID#AAACHq0BORs
tc={8DD5126C-087C-4AA0-8E23-FE122A0BF545}    (2026-09-27 12:52:48)
[Commentaire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ITI + VMC/chaudiere</t>
        </r>
      </text>
    </comment>
    <comment ref="C67" authorId="0" shapeId="0" xr:uid="{00000000-0006-0000-0300-000001000000}">
      <text>
        <r>
          <rPr>
            <sz val="11"/>
            <color theme="1"/>
            <rFont val="Aptos Narrow"/>
            <scheme val="minor"/>
          </rPr>
          <t>======
ID#AAACHq0BOTs
tc={DE7F93CF-5512-4F52-8889-41F81173F762}    (2026-09-27 12:52:48)
[Commentaire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Stricte minimum de la subvention</t>
        </r>
      </text>
    </comment>
  </commentList>
  <extLst>
    <ext xmlns:r="http://schemas.openxmlformats.org/officeDocument/2006/relationships" uri="GoogleSheetsCustomDataVersion2">
      <go:sheetsCustomData xmlns:go="http://customooxmlschemas.google.com/" r:id="rId1" roundtripDataSignature="AMtx7mjjVFeNokMDHLeOiHansDZ5DDFZa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58" authorId="0" shapeId="0" xr:uid="{00000000-0006-0000-0400-000005000000}">
      <text>
        <r>
          <rPr>
            <sz val="11"/>
            <color theme="1"/>
            <rFont val="Aptos Narrow"/>
            <scheme val="minor"/>
          </rPr>
          <t>======
ID#AAACHq0BOTA
Utilisateur    (2026-09-27 12:52:48)
Revoyure ?</t>
        </r>
      </text>
    </comment>
    <comment ref="D59" authorId="0" shapeId="0" xr:uid="{00000000-0006-0000-0400-000006000000}">
      <text>
        <r>
          <rPr>
            <sz val="11"/>
            <color theme="1"/>
            <rFont val="Aptos Narrow"/>
            <scheme val="minor"/>
          </rPr>
          <t>======
ID#AAACHq0BOTY
tc={4D3CC844-B4AF-4604-BDF2-990ABF0ED3E0}    (2026-09-27 12:52:48)
[Commentaire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40 % de subvention DETR</t>
        </r>
      </text>
    </comment>
    <comment ref="A60" authorId="0" shapeId="0" xr:uid="{00000000-0006-0000-0400-000004000000}">
      <text>
        <r>
          <rPr>
            <sz val="11"/>
            <color theme="1"/>
            <rFont val="Aptos Narrow"/>
            <scheme val="minor"/>
          </rPr>
          <t>======
ID#AAACHq0BOTw
Utilisateur    (2026-09-27 12:52:48)
La circulaire du 28 février 2025 précise que les subventions de la DSIL, de la DETR, de la DSID et
de la DPV sont prioritairement mobilisées lorsque les demandes de subvention pour la rénovation
énergétique portent sur les bâtiments scolaires. Dans ce cadre, il est demandé de continuer de
veiller à l’ambition écologique des projets en se référant au présent cahier d’accompagnement,
en particulier concernant l’objectif d’économie d’énergie de 40 % et la prise en compte du
confort d’été.</t>
        </r>
      </text>
    </comment>
    <comment ref="A61" authorId="0" shapeId="0" xr:uid="{00000000-0006-0000-0400-000003000000}">
      <text>
        <r>
          <rPr>
            <sz val="11"/>
            <color theme="1"/>
            <rFont val="Aptos Narrow"/>
            <scheme val="minor"/>
          </rPr>
          <t>======
ID#AAACHq0BOTU
Utilisateur    (2026-09-27 12:52:48)
Audit de l'école :  Coût 3510 € HT prise en charge 80% soit 2808 €
Il y a aussi l'audit de la cantine (et des logements) mais en compta analytique, c'est mieux de tout séparer donc rester sur l'école
Mission AMO Kerlotec coût 27 100 € HT prise en charge 65% soit 17 615 €
Mission MOE 45 € du m² soit 310*45 = 13 950 €</t>
        </r>
      </text>
    </comment>
    <comment ref="A64" authorId="0" shapeId="0" xr:uid="{00000000-0006-0000-0400-000002000000}">
      <text>
        <r>
          <rPr>
            <sz val="11"/>
            <color theme="1"/>
            <rFont val="Aptos Narrow"/>
            <scheme val="minor"/>
          </rPr>
          <t>======
ID#AAACHq0BORI
Utilisateur    (2026-09-27 12:52:48)
Ajout d'étude</t>
        </r>
      </text>
    </comment>
    <comment ref="C66" authorId="0" shapeId="0" xr:uid="{00000000-0006-0000-0400-000001000000}">
      <text>
        <r>
          <rPr>
            <sz val="11"/>
            <color theme="1"/>
            <rFont val="Aptos Narrow"/>
            <scheme val="minor"/>
          </rPr>
          <t>======
ID#AAACHq0BOTI
tc={DD505184-9852-4E6A-889B-22F8811083DF}    (2026-09-27 12:52:48)
[Commentaire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Stricte minimum de la subvention</t>
        </r>
      </text>
    </comment>
  </commentList>
  <extLst>
    <ext xmlns:r="http://schemas.openxmlformats.org/officeDocument/2006/relationships" uri="GoogleSheetsCustomDataVersion2">
      <go:sheetsCustomData xmlns:go="http://customooxmlschemas.google.com/" r:id="rId1" roundtripDataSignature="AMtx7mhe9G/Sdv2jWgduv9vyk13uvJCQw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58" authorId="0" shapeId="0" xr:uid="{00000000-0006-0000-0500-000004000000}">
      <text>
        <r>
          <rPr>
            <sz val="11"/>
            <color theme="1"/>
            <rFont val="Aptos Narrow"/>
            <scheme val="minor"/>
          </rPr>
          <t>======
ID#AAACHq0BOTc
Utilisateur    (2026-09-27 12:52:48)
Revoyure ?</t>
        </r>
      </text>
    </comment>
    <comment ref="D59" authorId="0" shapeId="0" xr:uid="{00000000-0006-0000-0500-000005000000}">
      <text>
        <r>
          <rPr>
            <sz val="11"/>
            <color theme="1"/>
            <rFont val="Aptos Narrow"/>
            <scheme val="minor"/>
          </rPr>
          <t>======
ID#AAACHq0BOTg
tc={B4565163-FBEB-4971-AA93-05DF5F090329}    (2026-09-27 12:52:48)
[Commentaire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40 % de subvention DETR</t>
        </r>
      </text>
    </comment>
    <comment ref="A60" authorId="0" shapeId="0" xr:uid="{00000000-0006-0000-0500-000003000000}">
      <text>
        <r>
          <rPr>
            <sz val="11"/>
            <color theme="1"/>
            <rFont val="Aptos Narrow"/>
            <scheme val="minor"/>
          </rPr>
          <t>======
ID#AAACHq0BOTk
Utilisateur    (2026-09-27 12:52:48)
La circulaire du 28 février 2025 précise que les subventions de la DSIL, de la DETR, de la DSID et
de la DPV sont prioritairement mobilisées lorsque les demandes de subvention pour la rénovation
énergétique portent sur les bâtiments scolaires. Dans ce cadre, il est demandé de continuer de
veiller à l’ambition écologique des projets en se référant au présent cahier d’accompagnement,
en particulier concernant l’objectif d’économie d’énergie de 40 % et la prise en compte du
confort d’été.</t>
        </r>
      </text>
    </comment>
    <comment ref="A64" authorId="0" shapeId="0" xr:uid="{00000000-0006-0000-0500-000002000000}">
      <text>
        <r>
          <rPr>
            <sz val="11"/>
            <color theme="1"/>
            <rFont val="Aptos Narrow"/>
            <scheme val="minor"/>
          </rPr>
          <t>======
ID#AAACHq0BORU
Utilisateur    (2026-09-27 12:52:48)
Ajout d'étude</t>
        </r>
      </text>
    </comment>
    <comment ref="C66" authorId="0" shapeId="0" xr:uid="{00000000-0006-0000-0500-000001000000}">
      <text>
        <r>
          <rPr>
            <sz val="11"/>
            <color theme="1"/>
            <rFont val="Aptos Narrow"/>
            <scheme val="minor"/>
          </rPr>
          <t>======
ID#AAACHq0BOTE
tc={1D544122-E915-4C14-ACF6-C77696B37DB4}    (2026-09-27 12:52:48)
[Commentaire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Stricte minimum de la subvention</t>
        </r>
      </text>
    </comment>
  </commentList>
  <extLst>
    <ext xmlns:r="http://schemas.openxmlformats.org/officeDocument/2006/relationships" uri="GoogleSheetsCustomDataVersion2">
      <go:sheetsCustomData xmlns:go="http://customooxmlschemas.google.com/" r:id="rId1" roundtripDataSignature="AMtx7mj2OGLFg/yRzHJMQaTijw9/h8TTIw=="/>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00000000-0006-0000-0600-000001000000}">
      <text>
        <r>
          <rPr>
            <sz val="11"/>
            <color theme="1"/>
            <rFont val="Aptos Narrow"/>
            <scheme val="minor"/>
          </rPr>
          <t>======
ID#AAACHq0BORc
Utilisateur    (2026-09-27 12:52:48)
Murs en terre adobe intérieur, murs bauge exterieur sous préau et enduit terre intérieur</t>
        </r>
      </text>
    </comment>
  </commentList>
  <extLst>
    <ext xmlns:r="http://schemas.openxmlformats.org/officeDocument/2006/relationships" uri="GoogleSheetsCustomDataVersion2">
      <go:sheetsCustomData xmlns:go="http://customooxmlschemas.google.com/" r:id="rId1" roundtripDataSignature="AMtx7mgC9jzkaQrYzQHVBhnS9k7OZKPZWg=="/>
    </ext>
  </extLst>
</comments>
</file>

<file path=xl/sharedStrings.xml><?xml version="1.0" encoding="utf-8"?>
<sst xmlns="http://schemas.openxmlformats.org/spreadsheetml/2006/main" count="625" uniqueCount="172">
  <si>
    <t xml:space="preserve">Porteur de projet : </t>
  </si>
  <si>
    <t>€ HT</t>
  </si>
  <si>
    <t>Commune de Kergrist-Moëlou</t>
  </si>
  <si>
    <t>Scénario 1 : Tout</t>
  </si>
  <si>
    <t xml:space="preserve">Scénario 2 : 
Budget travaux  sans les PSE  </t>
  </si>
  <si>
    <t xml:space="preserve">Intitulé du projet : </t>
  </si>
  <si>
    <t>Rénovation énergétique et fonctionnelle de l'école communale</t>
  </si>
  <si>
    <t>Coût estimatif de l'opération</t>
  </si>
  <si>
    <t>Scénario 3 : Budget travaux sans les PSE et Missions sauf etude thermique</t>
  </si>
  <si>
    <r>
      <rPr>
        <sz val="11"/>
        <color theme="1"/>
        <rFont val="Aptos Narrow"/>
        <family val="2"/>
      </rPr>
      <t xml:space="preserve">Scénario 2 : 
Tout sans </t>
    </r>
    <r>
      <rPr>
        <b/>
        <sz val="11"/>
        <color theme="1"/>
        <rFont val="Aptos Narrow"/>
        <family val="2"/>
      </rPr>
      <t>certains</t>
    </r>
    <r>
      <rPr>
        <sz val="11"/>
        <color theme="1"/>
        <rFont val="Aptos Narrow"/>
        <family val="2"/>
      </rPr>
      <t xml:space="preserve"> PSE  </t>
    </r>
  </si>
  <si>
    <t>80% HT de somme budget travaux : max des aides publiques mobilisables</t>
  </si>
  <si>
    <r>
      <rPr>
        <sz val="11"/>
        <color theme="1"/>
        <rFont val="Aptos Narrow"/>
        <family val="2"/>
      </rPr>
      <t xml:space="preserve">Scénario 3 : Tout sans </t>
    </r>
    <r>
      <rPr>
        <b/>
        <sz val="11"/>
        <color theme="1"/>
        <rFont val="Aptos Narrow"/>
        <family val="2"/>
      </rPr>
      <t>certains</t>
    </r>
    <r>
      <rPr>
        <sz val="11"/>
        <color theme="1"/>
        <rFont val="Aptos Narrow"/>
        <family val="2"/>
      </rPr>
      <t xml:space="preserve"> PSE et sans Missions sauf etude thermique</t>
    </r>
  </si>
  <si>
    <t>Reste à charge minimum HT (80% des aides mobilisées)</t>
  </si>
  <si>
    <t>Budget travaux total TTC</t>
  </si>
  <si>
    <t>TOTAL ETUDES et TRAVAUX</t>
  </si>
  <si>
    <t>Pour être recevable, un dossier doit faire apparaître des montants identiques sur les devis ou APD, la délibération et le plan de financemenrt</t>
  </si>
  <si>
    <t>Nature des dépenses
les montants indiqués (sans arrondi) doivent être justifiés
ajoutez des lignes si nécessaire</t>
  </si>
  <si>
    <t>Nom du prestataire</t>
  </si>
  <si>
    <t xml:space="preserve">Scénario 2 : 
Tout sans les PSE  </t>
  </si>
  <si>
    <t>Scénario 3 : Tout sans les PSE et Missions sauf etude thermique</t>
  </si>
  <si>
    <t xml:space="preserve">TOTAL </t>
  </si>
  <si>
    <t>Montant (HT)</t>
  </si>
  <si>
    <t>Montant subventions cas défavorable</t>
  </si>
  <si>
    <t>Maîtrise d'œuvre / assistance à maîtrise d'ouvrage</t>
  </si>
  <si>
    <t>Montant subventions cas favorable</t>
  </si>
  <si>
    <t xml:space="preserve">MOE </t>
  </si>
  <si>
    <t>TOTAL HT  (ETUDE ET TRAVAUX) Cas défavorable</t>
  </si>
  <si>
    <t>B.HOUSSAIS ARCHITECTURE-associé à PATINE OFFICE</t>
  </si>
  <si>
    <t>TOTAL HT (ETUDE ET TRAVAUX)  Cas favorable</t>
  </si>
  <si>
    <t>TOTAL TTC  (ETUDE ET TRAVAUX) Cas très défavorable APS</t>
  </si>
  <si>
    <t>PLUS TVA</t>
  </si>
  <si>
    <t>MO/AMO</t>
  </si>
  <si>
    <t>Reste à payer --&gt; Prêt : 300 000€ max</t>
  </si>
  <si>
    <t>AMO</t>
  </si>
  <si>
    <t>KERLOTEC</t>
  </si>
  <si>
    <t>TOTAL TTC (ETUDE ET TRAVAUX)  Cas favorable APS</t>
  </si>
  <si>
    <t>Reste à payer --&gt; Prêt : 400 000€ max</t>
  </si>
  <si>
    <t>Avec chaudiere</t>
  </si>
  <si>
    <t>Etudes</t>
  </si>
  <si>
    <t>Audit énergétique</t>
  </si>
  <si>
    <t>ABEE</t>
  </si>
  <si>
    <t>Etude géotechnique</t>
  </si>
  <si>
    <t>ECR ENVIRONNEMENT</t>
  </si>
  <si>
    <t>total études</t>
  </si>
  <si>
    <t>radon</t>
  </si>
  <si>
    <t>NEOSFAIR</t>
  </si>
  <si>
    <t>Diagnostic Amiante/plomb/parasitaire</t>
  </si>
  <si>
    <t>DIAGAMTER</t>
  </si>
  <si>
    <t>Test infiltration</t>
  </si>
  <si>
    <t>BDB</t>
  </si>
  <si>
    <t>ASTROLAB</t>
  </si>
  <si>
    <t xml:space="preserve">Option chaudiere : ajout 30000€ HT ? </t>
  </si>
  <si>
    <t>Travaux</t>
  </si>
  <si>
    <t>DEMOLITION</t>
  </si>
  <si>
    <t>GROS OEUVRE</t>
  </si>
  <si>
    <t>CHARPENTE BOIS/METAL</t>
  </si>
  <si>
    <t>COUVERTURE</t>
  </si>
  <si>
    <t>MENUISERIES EXTERIEURES</t>
  </si>
  <si>
    <t>total travaux</t>
  </si>
  <si>
    <t>délibération</t>
  </si>
  <si>
    <t>MENUISERIES INTERIEURES</t>
  </si>
  <si>
    <t>CM 09/11/2025</t>
  </si>
  <si>
    <t>DOUBLAGE-CLOISON-PLAFOND-ISOLATION</t>
  </si>
  <si>
    <t>CARRELAGE-PEINTURE-RAVALEMENT</t>
  </si>
  <si>
    <t>PLOMBERIE-CHAUFFAGE VENTILATION</t>
  </si>
  <si>
    <t>Option chaudiere : différence de 31 000€ HT entre PAC et chaudière  (voir chiffrage scénarios fait par ALECOB )</t>
  </si>
  <si>
    <t>ELECTRICITE - CFO/CFA</t>
  </si>
  <si>
    <t>Traitement anti-radon</t>
  </si>
  <si>
    <t>TRAVAUX</t>
  </si>
  <si>
    <t>Equipements</t>
  </si>
  <si>
    <t>Modification des portails extérieurs donnant sur la cour</t>
  </si>
  <si>
    <t>TOTAL TTC (ETUDE ET TRAVAUX)  Cas favorable APS // Avec chaudiere</t>
  </si>
  <si>
    <t>Meuble bas de rangement en allège dans les locaux côté Nord</t>
  </si>
  <si>
    <t>Mobilier de l'entrée (patères-casiers-étagères)</t>
  </si>
  <si>
    <t>Mobilier du sas extérieur (range bottes-étagères)</t>
  </si>
  <si>
    <t xml:space="preserve">Frais annexes </t>
  </si>
  <si>
    <t>Bureau de contrôle</t>
  </si>
  <si>
    <t>Annexes</t>
  </si>
  <si>
    <t>SPS</t>
  </si>
  <si>
    <t xml:space="preserve">COÜT TOTAL PREVISIONNEL (HT) </t>
  </si>
  <si>
    <t>Budget travaux ESQ</t>
  </si>
  <si>
    <t>x</t>
  </si>
  <si>
    <t>+</t>
  </si>
  <si>
    <t xml:space="preserve">Budget travaux APS HT </t>
  </si>
  <si>
    <t>Budget travaux APS HT avec option chaudière (HYPOTHESE)</t>
  </si>
  <si>
    <t>PSE</t>
  </si>
  <si>
    <t>Traitement anti-radon (film anti-radon, dallage béton, chape isolée, sol linoléum)</t>
  </si>
  <si>
    <t>Traitement des surfaces extérieures en mélange terre pierre côté Nord et Sud</t>
  </si>
  <si>
    <t>Dégrossi intérieur à la chaux sur mur pierre intérieur</t>
  </si>
  <si>
    <t>Réfection des enduits de façades à la chaux</t>
  </si>
  <si>
    <t>Traitement préventif des bois de charpente</t>
  </si>
  <si>
    <t>Réfection de la couverture ardoise existante</t>
  </si>
  <si>
    <t>Sous-total</t>
  </si>
  <si>
    <t>Total HT</t>
  </si>
  <si>
    <t>ETUDE</t>
  </si>
  <si>
    <t>V2</t>
  </si>
  <si>
    <t xml:space="preserve">AMO Kerlotec </t>
  </si>
  <si>
    <t>Expertise Radon</t>
  </si>
  <si>
    <t>Sous_total</t>
  </si>
  <si>
    <t xml:space="preserve">BDB </t>
  </si>
  <si>
    <t>Missions complémentaires</t>
  </si>
  <si>
    <t>Etude thermique</t>
  </si>
  <si>
    <t>Aménagement - EXE :
- Plans de détails techniques
- coupes techniques et plan de plantations détaillés</t>
  </si>
  <si>
    <t>AMO Radon</t>
  </si>
  <si>
    <t>Aménagement - CHANTIER : Accompagnement
paysager et planification du chantier, plantations et
autres avec les équipes de Kergrist et équipes/parents de l'école et de la mairie (5 demies journées à 3)</t>
  </si>
  <si>
    <t>Enduit Terre - CHANTIER : Accompagnement
participatif du chantier enduit terre / dortoir en bauge,avec les équipes de Kergrist et enfants de l'école (3 demies journées à 2)</t>
  </si>
  <si>
    <t xml:space="preserve">Sous-total </t>
  </si>
  <si>
    <t>TOTAL HT</t>
  </si>
  <si>
    <t>SUBVENTIONS liées aux travaux seulement</t>
  </si>
  <si>
    <t>Cas très défavorable</t>
  </si>
  <si>
    <t>TOTAL HT (ETUDE ET TRAVAUX)  Cas très favorable</t>
  </si>
  <si>
    <t>Cas favorable</t>
  </si>
  <si>
    <t>A FAIRE</t>
  </si>
  <si>
    <t>Contrat de territoire</t>
  </si>
  <si>
    <t>Bien Vivre en Bretagne</t>
  </si>
  <si>
    <t>Relancer pour savoir sur revoyure</t>
  </si>
  <si>
    <t>SUBVENTIONS</t>
  </si>
  <si>
    <t>DETR/DESIL</t>
  </si>
  <si>
    <t>TOTAL TTC (ETUDE ET TRAVAUX)  Cas très favorable APS</t>
  </si>
  <si>
    <t>Levier fort</t>
  </si>
  <si>
    <t>Rappeler en septembre</t>
  </si>
  <si>
    <t>Fond verts : rénovation école</t>
  </si>
  <si>
    <t>Lancer la démarche</t>
  </si>
  <si>
    <t>ACTEE</t>
  </si>
  <si>
    <t>A la rentrée  : Serge fait un point sur les études pouvant être financées (voi mail du 29/07/25</t>
  </si>
  <si>
    <t>Renaturation des villes et des villages (Fond vert)</t>
  </si>
  <si>
    <t>Attendre décembre</t>
  </si>
  <si>
    <t>AAP Bâtiment performant</t>
  </si>
  <si>
    <t>Différence prix entre PAC et chaudiere</t>
  </si>
  <si>
    <t xml:space="preserve">CEE </t>
  </si>
  <si>
    <t>A la louche</t>
  </si>
  <si>
    <t>Estimation via Hellio</t>
  </si>
  <si>
    <t>Restauration - Valorisation des édifices publics</t>
  </si>
  <si>
    <t>Réponse début septembre</t>
  </si>
  <si>
    <t>CAF</t>
  </si>
  <si>
    <t>Faire estimation via Hellio (Kerlotec)</t>
  </si>
  <si>
    <t>Edurenov</t>
  </si>
  <si>
    <t>Fond LEADER</t>
  </si>
  <si>
    <t>AAP QAI</t>
  </si>
  <si>
    <t xml:space="preserve">Fermé pour candidature </t>
  </si>
  <si>
    <t>Fondation de France pour le moment aout 2025</t>
  </si>
  <si>
    <t>CAF ?</t>
  </si>
  <si>
    <t>Réunion avec C. Chevalier mardi pro</t>
  </si>
  <si>
    <t>SOMME</t>
  </si>
  <si>
    <t>MSA ?</t>
  </si>
  <si>
    <t xml:space="preserve">Grandir en milieu Rural ( MSA) </t>
  </si>
  <si>
    <t>Fond FEDER</t>
  </si>
  <si>
    <t xml:space="preserve">financeur privé? </t>
  </si>
  <si>
    <t>SOMME subvention HT</t>
  </si>
  <si>
    <t>Fond chaleur " inclut dans le prix de la chaudière"</t>
  </si>
  <si>
    <t>Hypothétique</t>
  </si>
  <si>
    <t>dépasse les 80%</t>
  </si>
  <si>
    <t>AAP Bâtiments Performants</t>
  </si>
  <si>
    <t xml:space="preserve">80% de somme budget travaux </t>
  </si>
  <si>
    <t>Recherche</t>
  </si>
  <si>
    <t>Diag PEMD</t>
  </si>
  <si>
    <t>Probabilité</t>
  </si>
  <si>
    <t>Cas très favorable</t>
  </si>
  <si>
    <t>?</t>
  </si>
  <si>
    <t>LOT</t>
  </si>
  <si>
    <t xml:space="preserve">Compris murs en terre adobe allégé pour l'intérieur et murs en bauge pour l'extérieur : 40 000 € ht
Compris enduit terre intérieur sur le gros mur de refend : 2 000 €ht
Suppresion élargissemnt ouverture motricité
Suprresion ouverture coté nord
</t>
  </si>
  <si>
    <t>3A</t>
  </si>
  <si>
    <t>remplacement portail d'entrée : 5 000€ht</t>
  </si>
  <si>
    <t>3B</t>
  </si>
  <si>
    <t>Préau : HYP DD : 10 000 €ht</t>
  </si>
  <si>
    <t>Mext : dépose et repose des mêmes MEXT?</t>
  </si>
  <si>
    <t>Remplacement du FP en laine de bois par isolant non biosourcé, voir dépose et repose du même FP</t>
  </si>
  <si>
    <t>Suppression de la dépose du carrelage etvtavaux en lien</t>
  </si>
  <si>
    <t>Total</t>
  </si>
  <si>
    <t>Axe important</t>
  </si>
  <si>
    <t>Préau : demander un préau comme le précedent, seulement sur une partie de la façade SUD</t>
  </si>
  <si>
    <t xml:space="preserve">Cour de récréation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</si>
</sst>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quot;€&quot;"/>
    <numFmt numFmtId="165" formatCode="#,##0.00\ &quot;€&quot;"/>
    <numFmt numFmtId="166" formatCode="_-* #,##0\ &quot;€&quot;_-;\-* #,##0\ &quot;€&quot;_-;_-* &quot;-&quot;??\ &quot;€&quot;_-;_-@"/>
    <numFmt numFmtId="167" formatCode="_-* #,##0.00\ &quot;€&quot;_-;\-* #,##0.00\ &quot;€&quot;_-;_-* &quot;-&quot;??\ &quot;€&quot;_-;_-@"/>
  </numFmts>
  <fonts count="12" x14ac:knownFonts="1">
    <font>
      <sz val="11"/>
      <color theme="1"/>
      <name val="Aptos Narrow"/>
      <scheme val="minor"/>
    </font>
    <font>
      <sz val="11"/>
      <color theme="1"/>
      <name val="Aptos Narrow"/>
      <family val="2"/>
    </font>
    <font>
      <sz val="11"/>
      <color theme="1"/>
      <name val="Aptos Narrow"/>
      <family val="2"/>
      <scheme val="minor"/>
    </font>
    <font>
      <sz val="11"/>
      <name val="Aptos Narrow"/>
      <family val="2"/>
    </font>
    <font>
      <b/>
      <sz val="11"/>
      <color theme="1"/>
      <name val="Aptos Narrow"/>
      <family val="2"/>
    </font>
    <font>
      <sz val="11"/>
      <color rgb="FF00B050"/>
      <name val="Aptos Narrow"/>
      <family val="2"/>
    </font>
    <font>
      <sz val="8"/>
      <color theme="1"/>
      <name val="Aptos Narrow"/>
      <family val="2"/>
    </font>
    <font>
      <b/>
      <sz val="11"/>
      <color rgb="FFFF0000"/>
      <name val="Aptos Narrow"/>
      <family val="2"/>
    </font>
    <font>
      <sz val="11"/>
      <color rgb="FFFF0000"/>
      <name val="Aptos Narrow"/>
      <family val="2"/>
    </font>
    <font>
      <i/>
      <sz val="11"/>
      <color rgb="FFFF0000"/>
      <name val="Aptos Narrow"/>
      <family val="2"/>
    </font>
    <font>
      <i/>
      <sz val="11"/>
      <color theme="1"/>
      <name val="Aptos Narrow"/>
      <family val="2"/>
    </font>
    <font>
      <strike/>
      <sz val="11"/>
      <color theme="1"/>
      <name val="Aptos Narrow"/>
      <family val="2"/>
    </font>
  </fonts>
  <fills count="7">
    <fill>
      <patternFill patternType="none"/>
    </fill>
    <fill>
      <patternFill patternType="gray125"/>
    </fill>
    <fill>
      <patternFill patternType="solid">
        <fgColor rgb="FFFFFFCC"/>
        <bgColor rgb="FFFFFFCC"/>
      </patternFill>
    </fill>
    <fill>
      <patternFill patternType="solid">
        <fgColor rgb="FFDBE9F7"/>
        <bgColor rgb="FFDBE9F7"/>
      </patternFill>
    </fill>
    <fill>
      <patternFill patternType="solid">
        <fgColor theme="9"/>
        <bgColor theme="9"/>
      </patternFill>
    </fill>
    <fill>
      <patternFill patternType="solid">
        <fgColor rgb="FFFAE2D5"/>
        <bgColor rgb="FFFAE2D5"/>
      </patternFill>
    </fill>
    <fill>
      <patternFill patternType="solid">
        <fgColor rgb="FFFFFF00"/>
        <bgColor rgb="FFFFFF00"/>
      </patternFill>
    </fill>
  </fills>
  <borders count="4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top style="medium">
        <color rgb="FF000000"/>
      </top>
      <bottom/>
      <diagonal/>
    </border>
    <border>
      <left/>
      <right/>
      <top style="medium">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right/>
      <top/>
      <bottom/>
      <diagonal/>
    </border>
    <border>
      <left/>
      <right/>
      <top/>
      <bottom/>
      <diagonal/>
    </border>
  </borders>
  <cellStyleXfs count="1">
    <xf numFmtId="0" fontId="0" fillId="0" borderId="0"/>
  </cellStyleXfs>
  <cellXfs count="117">
    <xf numFmtId="0" fontId="0" fillId="0" borderId="0" xfId="0"/>
    <xf numFmtId="0" fontId="1" fillId="0" borderId="0" xfId="0" applyFont="1" applyAlignment="1">
      <alignment horizontal="right"/>
    </xf>
    <xf numFmtId="164" fontId="1" fillId="0" borderId="0" xfId="0" applyNumberFormat="1" applyFont="1"/>
    <xf numFmtId="0" fontId="2" fillId="0" borderId="0" xfId="0" applyFont="1"/>
    <xf numFmtId="0" fontId="1" fillId="0" borderId="0" xfId="0" applyFont="1" applyAlignment="1">
      <alignment wrapText="1"/>
    </xf>
    <xf numFmtId="0" fontId="1" fillId="0" borderId="1" xfId="0" applyFont="1" applyBorder="1" applyAlignment="1">
      <alignment wrapText="1"/>
    </xf>
    <xf numFmtId="0" fontId="1" fillId="0" borderId="2" xfId="0" applyFont="1" applyBorder="1" applyAlignment="1">
      <alignment wrapText="1"/>
    </xf>
    <xf numFmtId="164" fontId="1" fillId="0" borderId="3" xfId="0" applyNumberFormat="1" applyFont="1" applyBorder="1" applyAlignment="1">
      <alignment wrapText="1"/>
    </xf>
    <xf numFmtId="0" fontId="4" fillId="0" borderId="0" xfId="0" applyFont="1"/>
    <xf numFmtId="164" fontId="4" fillId="0" borderId="0" xfId="0" applyNumberFormat="1" applyFont="1"/>
    <xf numFmtId="0" fontId="1" fillId="0" borderId="10" xfId="0" applyFont="1" applyBorder="1" applyAlignment="1">
      <alignment horizontal="center" vertical="center" wrapText="1"/>
    </xf>
    <xf numFmtId="0" fontId="1" fillId="0" borderId="11" xfId="0" applyFont="1" applyBorder="1" applyAlignment="1">
      <alignment horizontal="center" vertical="center"/>
    </xf>
    <xf numFmtId="0" fontId="4" fillId="0" borderId="12" xfId="0" applyFont="1" applyBorder="1"/>
    <xf numFmtId="164" fontId="1" fillId="0" borderId="13" xfId="0" applyNumberFormat="1" applyFont="1" applyBorder="1"/>
    <xf numFmtId="0" fontId="1" fillId="0" borderId="14" xfId="0" applyFont="1" applyBorder="1" applyAlignment="1">
      <alignment horizontal="center" vertical="center"/>
    </xf>
    <xf numFmtId="0" fontId="4" fillId="2" borderId="17" xfId="0" applyFont="1" applyFill="1" applyBorder="1"/>
    <xf numFmtId="0" fontId="1" fillId="0" borderId="10" xfId="0" applyFont="1" applyBorder="1" applyAlignment="1">
      <alignment horizontal="right"/>
    </xf>
    <xf numFmtId="0" fontId="1" fillId="0" borderId="11" xfId="0" applyFont="1" applyBorder="1" applyAlignment="1">
      <alignment horizontal="center"/>
    </xf>
    <xf numFmtId="164" fontId="4" fillId="0" borderId="12" xfId="0" applyNumberFormat="1" applyFont="1" applyBorder="1"/>
    <xf numFmtId="164" fontId="4" fillId="0" borderId="18" xfId="0" applyNumberFormat="1" applyFont="1" applyBorder="1"/>
    <xf numFmtId="164" fontId="4" fillId="0" borderId="19" xfId="0" applyNumberFormat="1" applyFont="1" applyBorder="1"/>
    <xf numFmtId="165" fontId="1" fillId="0" borderId="14" xfId="0" applyNumberFormat="1" applyFont="1" applyBorder="1"/>
    <xf numFmtId="0" fontId="1" fillId="0" borderId="12" xfId="0" applyFont="1" applyBorder="1"/>
    <xf numFmtId="164" fontId="4" fillId="0" borderId="20" xfId="0" applyNumberFormat="1" applyFont="1" applyBorder="1"/>
    <xf numFmtId="3" fontId="1" fillId="0" borderId="0" xfId="0" applyNumberFormat="1" applyFont="1"/>
    <xf numFmtId="0" fontId="1" fillId="0" borderId="0" xfId="0" applyFont="1" applyAlignment="1">
      <alignment horizontal="center"/>
    </xf>
    <xf numFmtId="164" fontId="1" fillId="0" borderId="12" xfId="0" applyNumberFormat="1" applyFont="1" applyBorder="1"/>
    <xf numFmtId="165" fontId="1" fillId="0" borderId="0" xfId="0" applyNumberFormat="1" applyFont="1"/>
    <xf numFmtId="0" fontId="1" fillId="0" borderId="13" xfId="0" applyFont="1" applyBorder="1"/>
    <xf numFmtId="0" fontId="1" fillId="0" borderId="10" xfId="0" applyFont="1" applyBorder="1"/>
    <xf numFmtId="164" fontId="4" fillId="0" borderId="21" xfId="0" applyNumberFormat="1" applyFont="1" applyBorder="1"/>
    <xf numFmtId="164" fontId="4" fillId="0" borderId="23" xfId="0" applyNumberFormat="1" applyFont="1" applyBorder="1"/>
    <xf numFmtId="0" fontId="1" fillId="0" borderId="11" xfId="0" applyFont="1" applyBorder="1"/>
    <xf numFmtId="164" fontId="4" fillId="0" borderId="27" xfId="0" applyNumberFormat="1" applyFont="1" applyBorder="1"/>
    <xf numFmtId="166" fontId="1" fillId="0" borderId="0" xfId="0" applyNumberFormat="1" applyFont="1"/>
    <xf numFmtId="164" fontId="4" fillId="0" borderId="22" xfId="0" applyNumberFormat="1" applyFont="1" applyBorder="1"/>
    <xf numFmtId="0" fontId="5" fillId="0" borderId="0" xfId="0" applyFont="1"/>
    <xf numFmtId="164" fontId="4" fillId="0" borderId="24" xfId="0" applyNumberFormat="1" applyFont="1" applyBorder="1"/>
    <xf numFmtId="164" fontId="4" fillId="0" borderId="25" xfId="0" applyNumberFormat="1" applyFont="1" applyBorder="1"/>
    <xf numFmtId="0" fontId="1" fillId="0" borderId="10" xfId="0" applyFont="1" applyBorder="1" applyAlignment="1">
      <alignment horizontal="center"/>
    </xf>
    <xf numFmtId="0" fontId="4" fillId="3" borderId="30" xfId="0" applyFont="1" applyFill="1" applyBorder="1"/>
    <xf numFmtId="165" fontId="7" fillId="0" borderId="14" xfId="0" applyNumberFormat="1" applyFont="1" applyBorder="1"/>
    <xf numFmtId="0" fontId="1" fillId="0" borderId="31" xfId="0" applyFont="1" applyBorder="1"/>
    <xf numFmtId="0" fontId="1" fillId="0" borderId="10" xfId="0" applyFont="1" applyBorder="1" applyAlignment="1">
      <alignment horizontal="right" vertical="top" wrapText="1"/>
    </xf>
    <xf numFmtId="0" fontId="1" fillId="3" borderId="30" xfId="0" applyFont="1" applyFill="1" applyBorder="1"/>
    <xf numFmtId="166" fontId="4" fillId="4" borderId="30" xfId="0" applyNumberFormat="1" applyFont="1" applyFill="1" applyBorder="1"/>
    <xf numFmtId="164" fontId="1" fillId="3" borderId="30" xfId="0" applyNumberFormat="1" applyFont="1" applyFill="1" applyBorder="1"/>
    <xf numFmtId="166" fontId="4" fillId="0" borderId="19" xfId="0" applyNumberFormat="1" applyFont="1" applyBorder="1"/>
    <xf numFmtId="166" fontId="4" fillId="0" borderId="20" xfId="0" applyNumberFormat="1" applyFont="1" applyBorder="1"/>
    <xf numFmtId="0" fontId="4" fillId="0" borderId="28" xfId="0" applyFont="1" applyBorder="1"/>
    <xf numFmtId="0" fontId="1" fillId="0" borderId="33" xfId="0" applyFont="1" applyBorder="1"/>
    <xf numFmtId="164" fontId="4" fillId="0" borderId="29" xfId="0" applyNumberFormat="1" applyFont="1" applyBorder="1"/>
    <xf numFmtId="0" fontId="4" fillId="0" borderId="1" xfId="0" applyFont="1" applyBorder="1"/>
    <xf numFmtId="165" fontId="4" fillId="2" borderId="35" xfId="0" applyNumberFormat="1" applyFont="1" applyFill="1" applyBorder="1"/>
    <xf numFmtId="0" fontId="1" fillId="0" borderId="0" xfId="0" applyFont="1" applyAlignment="1">
      <alignment horizontal="left"/>
    </xf>
    <xf numFmtId="0" fontId="8" fillId="0" borderId="33" xfId="0" applyFont="1" applyBorder="1"/>
    <xf numFmtId="0" fontId="8" fillId="0" borderId="0" xfId="0" applyFont="1"/>
    <xf numFmtId="0" fontId="1" fillId="0" borderId="2" xfId="0" applyFont="1" applyBorder="1"/>
    <xf numFmtId="164" fontId="1" fillId="0" borderId="3" xfId="0" applyNumberFormat="1" applyFont="1" applyBorder="1"/>
    <xf numFmtId="0" fontId="1" fillId="0" borderId="12" xfId="0" applyFont="1" applyBorder="1" applyAlignment="1">
      <alignment vertical="top" wrapText="1"/>
    </xf>
    <xf numFmtId="167" fontId="1" fillId="0" borderId="0" xfId="0" applyNumberFormat="1" applyFont="1"/>
    <xf numFmtId="164" fontId="8" fillId="0" borderId="13" xfId="0" applyNumberFormat="1" applyFont="1" applyBorder="1"/>
    <xf numFmtId="0" fontId="4" fillId="0" borderId="36" xfId="0" applyFont="1" applyBorder="1" applyAlignment="1">
      <alignment vertical="top" wrapText="1"/>
    </xf>
    <xf numFmtId="0" fontId="4" fillId="0" borderId="37" xfId="0" applyFont="1" applyBorder="1"/>
    <xf numFmtId="164" fontId="4" fillId="0" borderId="31" xfId="0" applyNumberFormat="1" applyFont="1" applyBorder="1"/>
    <xf numFmtId="0" fontId="1" fillId="0" borderId="0" xfId="0" applyFont="1" applyAlignment="1">
      <alignment vertical="top" wrapText="1"/>
    </xf>
    <xf numFmtId="0" fontId="4" fillId="0" borderId="0" xfId="0" applyFont="1" applyAlignment="1">
      <alignment vertical="top" wrapText="1"/>
    </xf>
    <xf numFmtId="164" fontId="4" fillId="5" borderId="30" xfId="0" applyNumberFormat="1" applyFont="1" applyFill="1" applyBorder="1"/>
    <xf numFmtId="0" fontId="4" fillId="3" borderId="30" xfId="0" applyFont="1" applyFill="1" applyBorder="1" applyAlignment="1">
      <alignment vertical="top" wrapText="1"/>
    </xf>
    <xf numFmtId="0" fontId="1" fillId="0" borderId="1" xfId="0" applyFont="1" applyBorder="1"/>
    <xf numFmtId="0" fontId="1" fillId="0" borderId="36" xfId="0" applyFont="1" applyBorder="1"/>
    <xf numFmtId="0" fontId="1" fillId="0" borderId="37" xfId="0" applyFont="1" applyBorder="1"/>
    <xf numFmtId="164" fontId="8" fillId="0" borderId="31" xfId="0" applyNumberFormat="1" applyFont="1" applyBorder="1"/>
    <xf numFmtId="0" fontId="8" fillId="0" borderId="37" xfId="0" applyFont="1" applyBorder="1"/>
    <xf numFmtId="164" fontId="1" fillId="0" borderId="31" xfId="0" applyNumberFormat="1" applyFont="1" applyBorder="1"/>
    <xf numFmtId="164" fontId="1" fillId="6" borderId="38" xfId="0" applyNumberFormat="1" applyFont="1" applyFill="1" applyBorder="1"/>
    <xf numFmtId="167" fontId="1" fillId="0" borderId="13" xfId="0" applyNumberFormat="1" applyFont="1" applyBorder="1"/>
    <xf numFmtId="167" fontId="1" fillId="6" borderId="39" xfId="0" applyNumberFormat="1" applyFont="1" applyFill="1" applyBorder="1"/>
    <xf numFmtId="0" fontId="4" fillId="0" borderId="36" xfId="0" applyFont="1" applyBorder="1"/>
    <xf numFmtId="167" fontId="1" fillId="6" borderId="38" xfId="0" applyNumberFormat="1" applyFont="1" applyFill="1" applyBorder="1"/>
    <xf numFmtId="164" fontId="1" fillId="5" borderId="30" xfId="0" applyNumberFormat="1" applyFont="1" applyFill="1" applyBorder="1"/>
    <xf numFmtId="0" fontId="9" fillId="0" borderId="0" xfId="0" applyFont="1"/>
    <xf numFmtId="164" fontId="1" fillId="6" borderId="30" xfId="0" applyNumberFormat="1" applyFont="1" applyFill="1" applyBorder="1"/>
    <xf numFmtId="0" fontId="10" fillId="0" borderId="0" xfId="0" applyFont="1"/>
    <xf numFmtId="166" fontId="1" fillId="6" borderId="30" xfId="0" applyNumberFormat="1" applyFont="1" applyFill="1" applyBorder="1"/>
    <xf numFmtId="0" fontId="11" fillId="0" borderId="0" xfId="0" applyFont="1"/>
    <xf numFmtId="0" fontId="1" fillId="0" borderId="18" xfId="0" applyFont="1" applyBorder="1"/>
    <xf numFmtId="0" fontId="1" fillId="0" borderId="19" xfId="0" applyFont="1" applyBorder="1"/>
    <xf numFmtId="0" fontId="4" fillId="0" borderId="18" xfId="0" applyFont="1" applyBorder="1"/>
    <xf numFmtId="164" fontId="1" fillId="0" borderId="18" xfId="0" applyNumberFormat="1" applyFont="1" applyBorder="1"/>
    <xf numFmtId="164" fontId="1" fillId="0" borderId="20" xfId="0" applyNumberFormat="1" applyFont="1" applyBorder="1"/>
    <xf numFmtId="164" fontId="1" fillId="0" borderId="0" xfId="0" applyNumberFormat="1" applyFont="1" applyAlignment="1">
      <alignment wrapText="1"/>
    </xf>
    <xf numFmtId="0" fontId="1" fillId="2" borderId="4" xfId="0" applyFont="1" applyFill="1" applyBorder="1" applyAlignment="1">
      <alignment horizontal="center" vertical="center"/>
    </xf>
    <xf numFmtId="0" fontId="3" fillId="0" borderId="5" xfId="0" applyFont="1" applyBorder="1"/>
    <xf numFmtId="0" fontId="3" fillId="0" borderId="6" xfId="0" applyFont="1" applyBorder="1"/>
    <xf numFmtId="0" fontId="1" fillId="2" borderId="7" xfId="0" applyFont="1" applyFill="1" applyBorder="1" applyAlignment="1">
      <alignment horizontal="center"/>
    </xf>
    <xf numFmtId="0" fontId="3" fillId="0" borderId="8" xfId="0" applyFont="1" applyBorder="1"/>
    <xf numFmtId="0" fontId="3" fillId="0" borderId="9" xfId="0" applyFont="1" applyBorder="1"/>
    <xf numFmtId="0" fontId="4" fillId="2" borderId="15" xfId="0" applyFont="1" applyFill="1" applyBorder="1" applyAlignment="1">
      <alignment horizontal="left"/>
    </xf>
    <xf numFmtId="0" fontId="3" fillId="0" borderId="16" xfId="0" applyFont="1" applyBorder="1"/>
    <xf numFmtId="0" fontId="4" fillId="2" borderId="32" xfId="0" applyFont="1" applyFill="1" applyBorder="1" applyAlignment="1">
      <alignment horizontal="left"/>
    </xf>
    <xf numFmtId="0" fontId="3" fillId="0" borderId="34" xfId="0" applyFont="1" applyBorder="1"/>
    <xf numFmtId="165" fontId="1" fillId="0" borderId="0" xfId="0" applyNumberFormat="1" applyFont="1" applyAlignment="1">
      <alignment horizontal="center"/>
    </xf>
    <xf numFmtId="0" fontId="0" fillId="0" borderId="0" xfId="0"/>
    <xf numFmtId="164" fontId="1" fillId="0" borderId="0" xfId="0" applyNumberFormat="1" applyFont="1" applyAlignment="1">
      <alignment horizontal="center"/>
    </xf>
    <xf numFmtId="0" fontId="1" fillId="0" borderId="26" xfId="0" applyFont="1" applyBorder="1" applyAlignment="1">
      <alignment horizontal="center" wrapText="1"/>
    </xf>
    <xf numFmtId="0" fontId="3" fillId="0" borderId="22" xfId="0" applyFont="1" applyBorder="1"/>
    <xf numFmtId="0" fontId="3" fillId="0" borderId="12" xfId="0" applyFont="1" applyBorder="1"/>
    <xf numFmtId="0" fontId="3" fillId="0" borderId="25" xfId="0" applyFont="1" applyBorder="1"/>
    <xf numFmtId="0" fontId="6" fillId="0" borderId="28" xfId="0" applyFont="1" applyBorder="1" applyAlignment="1">
      <alignment horizontal="center" wrapText="1"/>
    </xf>
    <xf numFmtId="0" fontId="3" fillId="0" borderId="29" xfId="0" applyFont="1" applyBorder="1"/>
    <xf numFmtId="0" fontId="1" fillId="6" borderId="40" xfId="0" applyFont="1" applyFill="1" applyBorder="1" applyAlignment="1">
      <alignment horizontal="center"/>
    </xf>
    <xf numFmtId="0" fontId="3" fillId="0" borderId="41" xfId="0" applyFont="1" applyBorder="1"/>
    <xf numFmtId="0" fontId="1" fillId="0" borderId="21" xfId="0" applyFont="1" applyBorder="1" applyAlignment="1">
      <alignment horizontal="center" wrapText="1"/>
    </xf>
    <xf numFmtId="0" fontId="3" fillId="0" borderId="24" xfId="0" applyFont="1" applyBorder="1"/>
    <xf numFmtId="0" fontId="1" fillId="0" borderId="28" xfId="0" applyFont="1" applyBorder="1" applyAlignment="1">
      <alignment horizontal="center" wrapText="1"/>
    </xf>
    <xf numFmtId="166" fontId="1" fillId="0" borderId="0" xfId="0" applyNumberFormat="1" applyFont="1" applyAlignment="1">
      <alignment horizontal="center"/>
    </xf>
  </cellXfs>
  <cellStyles count="1">
    <cellStyle name="Normal" xfId="0" builtinId="0"/>
  </cellStyles>
  <dxfs count="12">
    <dxf>
      <font>
        <color rgb="FF9C0006"/>
      </font>
      <fill>
        <patternFill patternType="solid">
          <fgColor rgb="FFFFC7CE"/>
          <bgColor rgb="FFFFC7CE"/>
        </patternFill>
      </fill>
    </dxf>
    <dxf>
      <fill>
        <patternFill patternType="solid">
          <fgColor theme="9"/>
          <bgColor theme="9"/>
        </patternFill>
      </fill>
    </dxf>
    <dxf>
      <font>
        <color rgb="FF9C0006"/>
      </font>
      <fill>
        <patternFill patternType="solid">
          <fgColor rgb="FFFFC7CE"/>
          <bgColor rgb="FFFFC7CE"/>
        </patternFill>
      </fill>
    </dxf>
    <dxf>
      <fill>
        <patternFill patternType="solid">
          <fgColor theme="9"/>
          <bgColor theme="9"/>
        </patternFill>
      </fill>
    </dxf>
    <dxf>
      <font>
        <color rgb="FF9C0006"/>
      </font>
      <fill>
        <patternFill patternType="solid">
          <fgColor rgb="FFFFC7CE"/>
          <bgColor rgb="FFFFC7CE"/>
        </patternFill>
      </fill>
    </dxf>
    <dxf>
      <fill>
        <patternFill patternType="solid">
          <fgColor theme="9"/>
          <bgColor theme="9"/>
        </patternFill>
      </fill>
    </dxf>
    <dxf>
      <font>
        <color rgb="FF9C0006"/>
      </font>
      <fill>
        <patternFill patternType="solid">
          <fgColor rgb="FFFFC7CE"/>
          <bgColor rgb="FFFFC7CE"/>
        </patternFill>
      </fill>
    </dxf>
    <dxf>
      <fill>
        <patternFill patternType="solid">
          <fgColor theme="9"/>
          <bgColor theme="9"/>
        </patternFill>
      </fill>
    </dxf>
    <dxf>
      <fill>
        <patternFill patternType="solid">
          <fgColor rgb="FFFAE2D5"/>
          <bgColor rgb="FFFAE2D5"/>
        </patternFill>
      </fill>
    </dxf>
    <dxf>
      <fill>
        <patternFill patternType="solid">
          <fgColor rgb="FFFAE2D5"/>
          <bgColor rgb="FFFAE2D5"/>
        </patternFill>
      </fill>
    </dxf>
    <dxf>
      <fill>
        <patternFill patternType="solid">
          <fgColor rgb="FFFAE2D5"/>
          <bgColor rgb="FFFAE2D5"/>
        </patternFill>
      </fill>
    </dxf>
    <dxf>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4"/></Relationships>
</file>

<file path=xl/_rels/comments4.xml.rels><?xml version="1.0" encoding="UTF-8" standalone="yes"?>
<Relationships xmlns="http://schemas.openxmlformats.org/package/2006/relationships"><Relationship Id="rId1" Type="http://customschemas.google.com/relationships/workbookmetadata" Target="commentsmeta2"/></Relationships>
</file>

<file path=xl/_rels/comments5.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microsoft.com/office/2017/10/relationships/person" Target="persons/person.xml"/><Relationship Id="rId19" Type="http://schemas.openxmlformats.org/officeDocument/2006/relationships/customXml" Target="../customXml/item3.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9525</xdr:colOff>
      <xdr:row>79</xdr:row>
      <xdr:rowOff>9525</xdr:rowOff>
    </xdr:from>
    <xdr:ext cx="3838575" cy="20574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1057275</xdr:colOff>
      <xdr:row>78</xdr:row>
      <xdr:rowOff>171450</xdr:rowOff>
    </xdr:from>
    <xdr:ext cx="4000500" cy="208597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685800</xdr:colOff>
      <xdr:row>71</xdr:row>
      <xdr:rowOff>142875</xdr:rowOff>
    </xdr:from>
    <xdr:ext cx="38100" cy="285750"/>
    <xdr:grpSp>
      <xdr:nvGrpSpPr>
        <xdr:cNvPr id="2" name="Shape 2">
          <a:extLst>
            <a:ext uri="{FF2B5EF4-FFF2-40B4-BE49-F238E27FC236}">
              <a16:creationId xmlns:a16="http://schemas.microsoft.com/office/drawing/2014/main" id="{00000000-0008-0000-0400-000002000000}"/>
            </a:ext>
          </a:extLst>
        </xdr:cNvPr>
        <xdr:cNvGrpSpPr/>
      </xdr:nvGrpSpPr>
      <xdr:grpSpPr>
        <a:xfrm>
          <a:off x="6819900" y="15337155"/>
          <a:ext cx="38100" cy="285750"/>
          <a:chOff x="5346000" y="3637125"/>
          <a:chExt cx="0" cy="285750"/>
        </a:xfrm>
      </xdr:grpSpPr>
      <xdr:cxnSp macro="">
        <xdr:nvCxnSpPr>
          <xdr:cNvPr id="3" name="Shape 3">
            <a:extLst>
              <a:ext uri="{FF2B5EF4-FFF2-40B4-BE49-F238E27FC236}">
                <a16:creationId xmlns:a16="http://schemas.microsoft.com/office/drawing/2014/main" id="{00000000-0008-0000-0400-000003000000}"/>
              </a:ext>
            </a:extLst>
          </xdr:cNvPr>
          <xdr:cNvCxnSpPr/>
        </xdr:nvCxnSpPr>
        <xdr:spPr>
          <a:xfrm>
            <a:off x="5346000" y="3637125"/>
            <a:ext cx="0" cy="285750"/>
          </a:xfrm>
          <a:prstGeom prst="straightConnector1">
            <a:avLst/>
          </a:prstGeom>
          <a:noFill/>
          <a:ln w="19050" cap="flat" cmpd="sng">
            <a:solidFill>
              <a:schemeClr val="accent1"/>
            </a:solidFill>
            <a:prstDash val="solid"/>
            <a:miter lim="8000"/>
            <a:headEnd type="triangle" w="med" len="med"/>
            <a:tailEnd type="triangle" w="med" len="med"/>
          </a:ln>
        </xdr:spPr>
      </xdr:cxnSp>
    </xdr:grpSp>
    <xdr:clientData fLocksWithSheet="0"/>
  </xdr:oneCellAnchor>
  <xdr:oneCellAnchor>
    <xdr:from>
      <xdr:col>5</xdr:col>
      <xdr:colOff>9525</xdr:colOff>
      <xdr:row>76</xdr:row>
      <xdr:rowOff>19050</xdr:rowOff>
    </xdr:from>
    <xdr:ext cx="3886200" cy="2924175"/>
    <xdr:pic>
      <xdr:nvPicPr>
        <xdr:cNvPr id="4" name="image1.png">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19050</xdr:colOff>
      <xdr:row>76</xdr:row>
      <xdr:rowOff>66675</xdr:rowOff>
    </xdr:from>
    <xdr:ext cx="4724400" cy="3409950"/>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6C6AC"/>
    <pageSetUpPr fitToPage="1"/>
  </sheetPr>
  <dimension ref="A1:G1000"/>
  <sheetViews>
    <sheetView tabSelected="1" topLeftCell="A13" workbookViewId="0">
      <selection activeCell="D24" sqref="D24"/>
    </sheetView>
  </sheetViews>
  <sheetFormatPr baseColWidth="10" defaultColWidth="12.6640625" defaultRowHeight="15" customHeight="1" x14ac:dyDescent="0.3"/>
  <cols>
    <col min="1" max="1" width="51.21875" customWidth="1"/>
    <col min="2" max="2" width="60.77734375" customWidth="1"/>
    <col min="3" max="3" width="23.77734375" customWidth="1"/>
    <col min="4" max="4" width="16" customWidth="1"/>
    <col min="5" max="5" width="14.5546875" customWidth="1"/>
    <col min="6" max="26" width="10.6640625" customWidth="1"/>
  </cols>
  <sheetData>
    <row r="1" spans="1:7" ht="14.4" x14ac:dyDescent="0.3">
      <c r="A1" s="1" t="s">
        <v>0</v>
      </c>
      <c r="B1" s="3" t="s">
        <v>2</v>
      </c>
    </row>
    <row r="2" spans="1:7" ht="14.4" x14ac:dyDescent="0.3">
      <c r="A2" s="1" t="s">
        <v>5</v>
      </c>
      <c r="B2" s="3" t="s">
        <v>6</v>
      </c>
    </row>
    <row r="3" spans="1:7" ht="14.4" x14ac:dyDescent="0.3">
      <c r="A3" s="92" t="s">
        <v>7</v>
      </c>
      <c r="B3" s="93"/>
      <c r="C3" s="94"/>
    </row>
    <row r="4" spans="1:7" ht="14.4" x14ac:dyDescent="0.3">
      <c r="A4" s="95" t="s">
        <v>15</v>
      </c>
      <c r="B4" s="96"/>
      <c r="C4" s="97"/>
    </row>
    <row r="5" spans="1:7" ht="60.75" customHeight="1" x14ac:dyDescent="0.3">
      <c r="A5" s="10" t="s">
        <v>16</v>
      </c>
      <c r="B5" s="11" t="s">
        <v>17</v>
      </c>
      <c r="C5" s="14" t="s">
        <v>21</v>
      </c>
    </row>
    <row r="6" spans="1:7" ht="14.4" x14ac:dyDescent="0.3">
      <c r="A6" s="98" t="s">
        <v>23</v>
      </c>
      <c r="B6" s="99"/>
      <c r="C6" s="15"/>
    </row>
    <row r="7" spans="1:7" ht="14.4" x14ac:dyDescent="0.3">
      <c r="A7" s="16" t="s">
        <v>25</v>
      </c>
      <c r="B7" s="17" t="s">
        <v>27</v>
      </c>
      <c r="C7" s="21">
        <v>60500</v>
      </c>
      <c r="D7" s="25" t="s">
        <v>31</v>
      </c>
    </row>
    <row r="8" spans="1:7" ht="14.4" x14ac:dyDescent="0.3">
      <c r="A8" s="16" t="s">
        <v>33</v>
      </c>
      <c r="B8" s="17" t="s">
        <v>34</v>
      </c>
      <c r="C8" s="21">
        <v>27100</v>
      </c>
      <c r="D8" s="27">
        <f>SUM(C7:C9)</f>
        <v>87600</v>
      </c>
    </row>
    <row r="9" spans="1:7" ht="14.4" x14ac:dyDescent="0.3">
      <c r="A9" s="29"/>
      <c r="B9" s="32"/>
      <c r="C9" s="21"/>
    </row>
    <row r="10" spans="1:7" ht="14.4" x14ac:dyDescent="0.3">
      <c r="A10" s="98" t="s">
        <v>38</v>
      </c>
      <c r="B10" s="99"/>
      <c r="C10" s="15"/>
      <c r="E10" s="27">
        <f>D8+D13</f>
        <v>122475.08</v>
      </c>
      <c r="G10" s="3">
        <f>(E10+D36)*1.2</f>
        <v>160239.09600000002</v>
      </c>
    </row>
    <row r="11" spans="1:7" ht="14.4" x14ac:dyDescent="0.3">
      <c r="A11" s="16" t="s">
        <v>39</v>
      </c>
      <c r="B11" s="17" t="s">
        <v>40</v>
      </c>
      <c r="C11" s="21">
        <v>3510</v>
      </c>
    </row>
    <row r="12" spans="1:7" ht="14.4" x14ac:dyDescent="0.3">
      <c r="A12" s="16" t="s">
        <v>41</v>
      </c>
      <c r="B12" s="17" t="s">
        <v>42</v>
      </c>
      <c r="C12" s="21">
        <f>5970+650</f>
        <v>6620</v>
      </c>
      <c r="D12" s="25" t="s">
        <v>43</v>
      </c>
    </row>
    <row r="13" spans="1:7" ht="14.4" x14ac:dyDescent="0.3">
      <c r="A13" s="16" t="s">
        <v>44</v>
      </c>
      <c r="B13" s="17" t="s">
        <v>45</v>
      </c>
      <c r="C13" s="21">
        <v>1680</v>
      </c>
      <c r="D13" s="27">
        <f>SUM(C11:C16)</f>
        <v>34875.08</v>
      </c>
    </row>
    <row r="14" spans="1:7" ht="14.4" x14ac:dyDescent="0.3">
      <c r="A14" s="16" t="s">
        <v>46</v>
      </c>
      <c r="B14" s="17" t="s">
        <v>47</v>
      </c>
      <c r="C14" s="21">
        <v>3265.08</v>
      </c>
    </row>
    <row r="15" spans="1:7" ht="14.4" x14ac:dyDescent="0.3">
      <c r="A15" s="16" t="s">
        <v>48</v>
      </c>
      <c r="B15" s="17" t="s">
        <v>42</v>
      </c>
      <c r="C15" s="21">
        <v>600</v>
      </c>
    </row>
    <row r="16" spans="1:7" ht="14.4" x14ac:dyDescent="0.3">
      <c r="A16" s="16" t="s">
        <v>49</v>
      </c>
      <c r="B16" s="17" t="s">
        <v>50</v>
      </c>
      <c r="C16" s="21">
        <f>15400+3800</f>
        <v>19200</v>
      </c>
    </row>
    <row r="17" spans="1:6" ht="14.4" x14ac:dyDescent="0.3">
      <c r="A17" s="98" t="s">
        <v>52</v>
      </c>
      <c r="B17" s="99"/>
      <c r="C17" s="15"/>
    </row>
    <row r="18" spans="1:6" ht="14.4" x14ac:dyDescent="0.3">
      <c r="A18" s="29" t="s">
        <v>53</v>
      </c>
      <c r="B18" s="32"/>
      <c r="C18" s="21">
        <v>35000</v>
      </c>
    </row>
    <row r="19" spans="1:6" ht="14.4" x14ac:dyDescent="0.3">
      <c r="A19" s="29" t="s">
        <v>54</v>
      </c>
      <c r="B19" s="32"/>
      <c r="C19" s="21">
        <v>106500</v>
      </c>
    </row>
    <row r="20" spans="1:6" ht="14.4" x14ac:dyDescent="0.3">
      <c r="A20" s="29" t="s">
        <v>55</v>
      </c>
      <c r="B20" s="32"/>
      <c r="C20" s="21">
        <v>21500</v>
      </c>
    </row>
    <row r="21" spans="1:6" ht="15.75" customHeight="1" x14ac:dyDescent="0.3">
      <c r="A21" s="29" t="s">
        <v>56</v>
      </c>
      <c r="B21" s="32"/>
      <c r="C21" s="21">
        <v>15500</v>
      </c>
    </row>
    <row r="22" spans="1:6" ht="15.75" customHeight="1" x14ac:dyDescent="0.3">
      <c r="A22" s="29" t="s">
        <v>57</v>
      </c>
      <c r="B22" s="32"/>
      <c r="C22" s="21">
        <v>87800</v>
      </c>
      <c r="D22" s="25" t="s">
        <v>58</v>
      </c>
      <c r="E22" s="36" t="s">
        <v>59</v>
      </c>
      <c r="F22" s="36"/>
    </row>
    <row r="23" spans="1:6" ht="15.75" customHeight="1" x14ac:dyDescent="0.3">
      <c r="A23" s="29" t="s">
        <v>60</v>
      </c>
      <c r="B23" s="32"/>
      <c r="C23" s="21">
        <v>44000</v>
      </c>
      <c r="D23" s="27">
        <f>SUM(C18:C28)</f>
        <v>617500</v>
      </c>
      <c r="E23" s="36" t="s">
        <v>61</v>
      </c>
      <c r="F23" s="36"/>
    </row>
    <row r="24" spans="1:6" ht="15.75" customHeight="1" x14ac:dyDescent="0.3">
      <c r="A24" s="29" t="s">
        <v>62</v>
      </c>
      <c r="B24" s="32"/>
      <c r="C24" s="21">
        <v>102500</v>
      </c>
    </row>
    <row r="25" spans="1:6" ht="15.75" customHeight="1" x14ac:dyDescent="0.3">
      <c r="A25" s="29" t="s">
        <v>63</v>
      </c>
      <c r="B25" s="32"/>
      <c r="C25" s="21">
        <v>37400</v>
      </c>
    </row>
    <row r="26" spans="1:6" ht="15.75" customHeight="1" x14ac:dyDescent="0.3">
      <c r="A26" s="29" t="s">
        <v>64</v>
      </c>
      <c r="B26" s="32"/>
      <c r="C26" s="21">
        <v>85500</v>
      </c>
    </row>
    <row r="27" spans="1:6" ht="15.75" customHeight="1" x14ac:dyDescent="0.3">
      <c r="A27" s="29" t="s">
        <v>66</v>
      </c>
      <c r="B27" s="32"/>
      <c r="C27" s="21">
        <v>40800</v>
      </c>
    </row>
    <row r="28" spans="1:6" ht="15.75" customHeight="1" x14ac:dyDescent="0.3">
      <c r="A28" s="39" t="s">
        <v>67</v>
      </c>
      <c r="B28" s="17"/>
      <c r="C28" s="41">
        <v>41000</v>
      </c>
    </row>
    <row r="29" spans="1:6" ht="15.75" customHeight="1" x14ac:dyDescent="0.3">
      <c r="A29" s="98" t="s">
        <v>69</v>
      </c>
      <c r="B29" s="99"/>
      <c r="C29" s="15"/>
    </row>
    <row r="30" spans="1:6" ht="15.75" customHeight="1" x14ac:dyDescent="0.3">
      <c r="A30" s="43" t="s">
        <v>70</v>
      </c>
      <c r="B30" s="32"/>
      <c r="C30" s="21">
        <v>9000</v>
      </c>
      <c r="D30" s="27"/>
    </row>
    <row r="31" spans="1:6" ht="15.75" customHeight="1" x14ac:dyDescent="0.3">
      <c r="A31" s="43" t="s">
        <v>72</v>
      </c>
      <c r="B31" s="32"/>
      <c r="C31" s="21">
        <v>12100</v>
      </c>
      <c r="D31" s="27" t="s">
        <v>69</v>
      </c>
    </row>
    <row r="32" spans="1:6" ht="15.75" customHeight="1" x14ac:dyDescent="0.3">
      <c r="A32" s="16" t="s">
        <v>73</v>
      </c>
      <c r="B32" s="32"/>
      <c r="C32" s="21">
        <v>5500</v>
      </c>
      <c r="D32" s="27">
        <f>SUM(C30:C33)</f>
        <v>29300</v>
      </c>
    </row>
    <row r="33" spans="1:4" ht="15.75" customHeight="1" x14ac:dyDescent="0.3">
      <c r="A33" s="16" t="s">
        <v>74</v>
      </c>
      <c r="B33" s="32"/>
      <c r="C33" s="21">
        <v>2700</v>
      </c>
      <c r="D33" s="27"/>
    </row>
    <row r="34" spans="1:4" ht="15.75" customHeight="1" x14ac:dyDescent="0.3">
      <c r="A34" s="98" t="s">
        <v>75</v>
      </c>
      <c r="B34" s="99"/>
      <c r="C34" s="15"/>
    </row>
    <row r="35" spans="1:4" ht="15.75" customHeight="1" x14ac:dyDescent="0.3">
      <c r="A35" s="29" t="s">
        <v>76</v>
      </c>
      <c r="B35" s="32"/>
      <c r="C35" s="21">
        <v>6850</v>
      </c>
      <c r="D35" s="25" t="s">
        <v>77</v>
      </c>
    </row>
    <row r="36" spans="1:4" ht="15.75" customHeight="1" x14ac:dyDescent="0.3">
      <c r="A36" s="29" t="s">
        <v>78</v>
      </c>
      <c r="B36" s="32"/>
      <c r="C36" s="21">
        <v>4207.5</v>
      </c>
      <c r="D36" s="27">
        <f>SUM(C35:C37)</f>
        <v>11057.5</v>
      </c>
    </row>
    <row r="37" spans="1:4" ht="15.75" customHeight="1" x14ac:dyDescent="0.3">
      <c r="A37" s="29"/>
      <c r="B37" s="32"/>
      <c r="C37" s="21"/>
    </row>
    <row r="38" spans="1:4" ht="15.75" customHeight="1" x14ac:dyDescent="0.3">
      <c r="A38" s="100" t="s">
        <v>79</v>
      </c>
      <c r="B38" s="101"/>
      <c r="C38" s="53">
        <f>SUM(C6:C37)</f>
        <v>780332.58000000007</v>
      </c>
    </row>
    <row r="39" spans="1:4" ht="15.75" customHeight="1" x14ac:dyDescent="0.3">
      <c r="A39" s="54"/>
    </row>
    <row r="40" spans="1:4" ht="15.75" customHeight="1" x14ac:dyDescent="0.3"/>
    <row r="41" spans="1:4" ht="15.75" customHeight="1" x14ac:dyDescent="0.3"/>
    <row r="42" spans="1:4" ht="15.75" customHeight="1" x14ac:dyDescent="0.3"/>
    <row r="43" spans="1:4" ht="15.75" customHeight="1" x14ac:dyDescent="0.3"/>
    <row r="44" spans="1:4" ht="15.75" customHeight="1" x14ac:dyDescent="0.3"/>
    <row r="45" spans="1:4" ht="15.75" customHeight="1" x14ac:dyDescent="0.3"/>
    <row r="46" spans="1:4" ht="15.75" customHeight="1" x14ac:dyDescent="0.3"/>
    <row r="47" spans="1:4" ht="15.75" customHeight="1" x14ac:dyDescent="0.3"/>
    <row r="48" spans="1:4"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8">
    <mergeCell ref="A29:B29"/>
    <mergeCell ref="A34:B34"/>
    <mergeCell ref="A38:B38"/>
    <mergeCell ref="A3:C3"/>
    <mergeCell ref="A4:C4"/>
    <mergeCell ref="A6:B6"/>
    <mergeCell ref="A10:B10"/>
    <mergeCell ref="A17:B17"/>
  </mergeCell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A1:Z1000"/>
  <sheetViews>
    <sheetView workbookViewId="0"/>
  </sheetViews>
  <sheetFormatPr baseColWidth="10" defaultColWidth="12.6640625" defaultRowHeight="15" customHeight="1" x14ac:dyDescent="0.3"/>
  <cols>
    <col min="1" max="1" width="64.109375" customWidth="1"/>
    <col min="2" max="2" width="5.21875" customWidth="1"/>
    <col min="3" max="3" width="20.109375" customWidth="1"/>
    <col min="4" max="4" width="15.77734375" customWidth="1"/>
    <col min="5" max="5" width="15.6640625" customWidth="1"/>
    <col min="6" max="6" width="17.77734375" customWidth="1"/>
    <col min="7" max="7" width="21.77734375" customWidth="1"/>
    <col min="8" max="8" width="28.21875" customWidth="1"/>
    <col min="9" max="9" width="14.77734375" customWidth="1"/>
    <col min="10" max="10" width="14.6640625" customWidth="1"/>
    <col min="11" max="11" width="14.33203125" customWidth="1"/>
    <col min="12" max="26" width="10.6640625" customWidth="1"/>
  </cols>
  <sheetData>
    <row r="1" spans="1:26" ht="71.25" customHeight="1" x14ac:dyDescent="0.3">
      <c r="C1" s="2" t="s">
        <v>1</v>
      </c>
      <c r="E1" s="2" t="s">
        <v>3</v>
      </c>
      <c r="F1" s="4" t="s">
        <v>9</v>
      </c>
      <c r="G1" s="4" t="s">
        <v>11</v>
      </c>
      <c r="I1" s="5" t="s">
        <v>10</v>
      </c>
      <c r="J1" s="6" t="s">
        <v>12</v>
      </c>
      <c r="K1" s="7" t="s">
        <v>13</v>
      </c>
    </row>
    <row r="2" spans="1:26" ht="14.4" x14ac:dyDescent="0.3">
      <c r="A2" s="8" t="s">
        <v>14</v>
      </c>
      <c r="B2" s="8"/>
      <c r="C2" s="9">
        <f>E32+E54</f>
        <v>1140842.58</v>
      </c>
      <c r="D2" s="8"/>
      <c r="E2" s="2">
        <f>C2</f>
        <v>1140842.58</v>
      </c>
      <c r="F2" s="2">
        <f>E54+F32</f>
        <v>974142.58000000007</v>
      </c>
      <c r="G2" s="2">
        <f>G32+G54</f>
        <v>912892.58000000007</v>
      </c>
      <c r="H2" s="9"/>
      <c r="I2" s="12"/>
      <c r="K2" s="13"/>
      <c r="L2" s="8"/>
      <c r="M2" s="8"/>
      <c r="N2" s="8"/>
      <c r="O2" s="8"/>
      <c r="P2" s="8"/>
      <c r="Q2" s="8"/>
      <c r="R2" s="8"/>
      <c r="S2" s="8"/>
      <c r="T2" s="8"/>
      <c r="U2" s="8"/>
      <c r="V2" s="8"/>
      <c r="W2" s="8"/>
      <c r="X2" s="8"/>
      <c r="Y2" s="8"/>
      <c r="Z2" s="8"/>
    </row>
    <row r="3" spans="1:26" ht="14.4" x14ac:dyDescent="0.3">
      <c r="A3" s="3" t="s">
        <v>22</v>
      </c>
      <c r="B3" s="8"/>
      <c r="C3" s="9"/>
      <c r="D3" s="8"/>
      <c r="E3" s="102">
        <f>C72</f>
        <v>516528</v>
      </c>
      <c r="F3" s="103"/>
      <c r="G3" s="103"/>
      <c r="H3" s="8"/>
      <c r="I3" s="12"/>
      <c r="K3" s="13"/>
      <c r="L3" s="8"/>
      <c r="M3" s="8"/>
      <c r="N3" s="8"/>
      <c r="O3" s="8"/>
      <c r="P3" s="8"/>
      <c r="Q3" s="8"/>
      <c r="R3" s="8"/>
      <c r="S3" s="8"/>
      <c r="T3" s="8"/>
      <c r="U3" s="8"/>
      <c r="V3" s="8"/>
      <c r="W3" s="8"/>
      <c r="X3" s="8"/>
      <c r="Y3" s="8"/>
      <c r="Z3" s="8"/>
    </row>
    <row r="4" spans="1:26" ht="14.4" x14ac:dyDescent="0.3">
      <c r="A4" s="3" t="s">
        <v>24</v>
      </c>
      <c r="B4" s="8"/>
      <c r="C4" s="9"/>
      <c r="D4" s="8"/>
      <c r="E4" s="104">
        <f>D72</f>
        <v>605878</v>
      </c>
      <c r="F4" s="103"/>
      <c r="G4" s="103"/>
      <c r="H4" s="8" t="s">
        <v>30</v>
      </c>
      <c r="I4" s="18">
        <f>0.8*C16</f>
        <v>565200</v>
      </c>
      <c r="J4" s="9">
        <f>K4-I4</f>
        <v>282600</v>
      </c>
      <c r="K4" s="13">
        <f>C16+0.2*C16</f>
        <v>847800</v>
      </c>
      <c r="L4" s="8"/>
      <c r="M4" s="8"/>
      <c r="N4" s="8"/>
      <c r="O4" s="8"/>
      <c r="P4" s="8"/>
      <c r="Q4" s="8"/>
      <c r="R4" s="8"/>
      <c r="S4" s="8"/>
      <c r="T4" s="8"/>
      <c r="U4" s="8"/>
      <c r="V4" s="8"/>
      <c r="W4" s="8"/>
      <c r="X4" s="8"/>
      <c r="Y4" s="8"/>
      <c r="Z4" s="8"/>
    </row>
    <row r="5" spans="1:26" ht="14.4" x14ac:dyDescent="0.3">
      <c r="C5" s="2"/>
      <c r="H5" s="24">
        <v>45000</v>
      </c>
      <c r="I5" s="26">
        <f>0.8*F32</f>
        <v>664640</v>
      </c>
      <c r="J5" s="9">
        <f>K4-I5</f>
        <v>183160</v>
      </c>
      <c r="K5" s="28"/>
    </row>
    <row r="6" spans="1:26" ht="14.4" x14ac:dyDescent="0.3">
      <c r="C6" s="2"/>
      <c r="I6" s="26"/>
      <c r="J6" s="9"/>
      <c r="K6" s="28"/>
    </row>
    <row r="7" spans="1:26" ht="14.4" x14ac:dyDescent="0.3">
      <c r="A7" s="3" t="s">
        <v>26</v>
      </c>
      <c r="C7" s="9"/>
      <c r="E7" s="30">
        <f t="shared" ref="E7:E8" si="0">$E$2-E3</f>
        <v>624314.58000000007</v>
      </c>
      <c r="F7" s="33">
        <f t="shared" ref="F7:F8" si="1">$F$2-E3</f>
        <v>457614.58000000007</v>
      </c>
      <c r="G7" s="35">
        <f>G2-E3</f>
        <v>396364.58000000007</v>
      </c>
      <c r="H7" s="2">
        <f t="shared" ref="H7:H11" si="2">G7+$H$5</f>
        <v>441364.58000000007</v>
      </c>
      <c r="I7" s="22"/>
      <c r="K7" s="28"/>
    </row>
    <row r="8" spans="1:26" ht="14.4" x14ac:dyDescent="0.3">
      <c r="A8" s="3" t="s">
        <v>28</v>
      </c>
      <c r="C8" s="9"/>
      <c r="E8" s="37">
        <f t="shared" si="0"/>
        <v>534964.58000000007</v>
      </c>
      <c r="F8" s="9">
        <f t="shared" si="1"/>
        <v>368264.58000000007</v>
      </c>
      <c r="G8" s="38">
        <f>$G$2-E4</f>
        <v>307014.58000000007</v>
      </c>
      <c r="H8" s="2">
        <f t="shared" si="2"/>
        <v>352014.58000000007</v>
      </c>
      <c r="I8" s="105" t="s">
        <v>36</v>
      </c>
      <c r="J8" s="106"/>
      <c r="K8" s="28"/>
    </row>
    <row r="9" spans="1:26" ht="14.4" x14ac:dyDescent="0.3">
      <c r="A9" s="8" t="s">
        <v>29</v>
      </c>
      <c r="C9" s="9"/>
      <c r="E9" s="19">
        <f t="shared" ref="E9:G9" si="3">E7*0.2+E7</f>
        <v>749177.49600000004</v>
      </c>
      <c r="F9" s="20">
        <f t="shared" si="3"/>
        <v>549137.49600000004</v>
      </c>
      <c r="G9" s="23">
        <f t="shared" si="3"/>
        <v>475637.4960000001</v>
      </c>
      <c r="H9" s="2">
        <f t="shared" si="2"/>
        <v>520637.4960000001</v>
      </c>
      <c r="I9" s="107"/>
      <c r="J9" s="108"/>
      <c r="K9" s="28"/>
    </row>
    <row r="10" spans="1:26" ht="14.4" x14ac:dyDescent="0.3">
      <c r="A10" s="8" t="s">
        <v>35</v>
      </c>
      <c r="C10" s="9"/>
      <c r="E10" s="19">
        <f t="shared" ref="E10:G10" si="4">E8*0.2+E8</f>
        <v>641957.49600000004</v>
      </c>
      <c r="F10" s="23">
        <f t="shared" si="4"/>
        <v>441917.4960000001</v>
      </c>
      <c r="G10" s="31">
        <f t="shared" si="4"/>
        <v>368417.4960000001</v>
      </c>
      <c r="H10" s="2">
        <f t="shared" si="2"/>
        <v>413417.4960000001</v>
      </c>
      <c r="I10" s="109" t="s">
        <v>65</v>
      </c>
      <c r="J10" s="110"/>
      <c r="K10" s="42"/>
    </row>
    <row r="11" spans="1:26" ht="32.25" customHeight="1" x14ac:dyDescent="0.3">
      <c r="A11" s="8" t="s">
        <v>71</v>
      </c>
      <c r="C11" s="9"/>
      <c r="E11" s="19">
        <f>E10+31000+(31000*0.2)</f>
        <v>679157.49600000004</v>
      </c>
      <c r="F11" s="47">
        <f>F10+31000++(31000*0.2)</f>
        <v>479117.4960000001</v>
      </c>
      <c r="G11" s="48">
        <f>G10+31000+(31000*0.2)</f>
        <v>405617.4960000001</v>
      </c>
      <c r="H11" s="2">
        <f t="shared" si="2"/>
        <v>450617.4960000001</v>
      </c>
    </row>
    <row r="12" spans="1:26" ht="10.5" customHeight="1" x14ac:dyDescent="0.3">
      <c r="A12" s="8"/>
      <c r="C12" s="9"/>
      <c r="E12" s="34"/>
      <c r="F12" s="34"/>
      <c r="G12" s="34"/>
    </row>
    <row r="13" spans="1:26" ht="14.4" x14ac:dyDescent="0.3">
      <c r="A13" s="40" t="s">
        <v>68</v>
      </c>
      <c r="B13" s="44"/>
      <c r="C13" s="46"/>
      <c r="D13" s="44"/>
      <c r="E13" s="44"/>
      <c r="F13" s="44"/>
      <c r="G13" s="44"/>
      <c r="H13" s="44"/>
      <c r="I13" s="44"/>
      <c r="J13" s="44"/>
      <c r="K13" s="44"/>
      <c r="L13" s="44"/>
      <c r="M13" s="44"/>
      <c r="N13" s="44"/>
      <c r="O13" s="44"/>
      <c r="P13" s="44"/>
      <c r="Q13" s="44"/>
      <c r="R13" s="44"/>
      <c r="S13" s="44"/>
      <c r="T13" s="44"/>
      <c r="U13" s="44"/>
      <c r="V13" s="44"/>
      <c r="W13" s="44"/>
      <c r="X13" s="44"/>
      <c r="Y13" s="44"/>
      <c r="Z13" s="44"/>
    </row>
    <row r="14" spans="1:26" ht="14.4" hidden="1" x14ac:dyDescent="0.3">
      <c r="A14" s="49" t="s">
        <v>80</v>
      </c>
      <c r="B14" s="50"/>
      <c r="C14" s="51">
        <f>635000</f>
        <v>635000</v>
      </c>
      <c r="E14" s="3" t="s">
        <v>81</v>
      </c>
      <c r="F14" s="3" t="s">
        <v>81</v>
      </c>
      <c r="G14" s="3" t="s">
        <v>81</v>
      </c>
    </row>
    <row r="15" spans="1:26" ht="14.4" hidden="1" x14ac:dyDescent="0.3">
      <c r="A15" s="52"/>
      <c r="B15" s="3" t="s">
        <v>82</v>
      </c>
      <c r="C15" s="2">
        <f>B16*C14</f>
        <v>0</v>
      </c>
    </row>
    <row r="16" spans="1:26" ht="14.4" x14ac:dyDescent="0.3">
      <c r="A16" s="49" t="s">
        <v>83</v>
      </c>
      <c r="B16" s="55"/>
      <c r="C16" s="51">
        <v>706500</v>
      </c>
      <c r="E16" s="2"/>
      <c r="F16" s="2"/>
      <c r="G16" s="2"/>
      <c r="H16" s="2"/>
    </row>
    <row r="17" spans="1:8" ht="14.4" x14ac:dyDescent="0.3">
      <c r="A17" s="49" t="s">
        <v>84</v>
      </c>
      <c r="B17" s="55"/>
      <c r="C17" s="51"/>
      <c r="D17" s="2"/>
      <c r="E17" s="2"/>
      <c r="F17" s="2"/>
      <c r="G17" s="2"/>
      <c r="H17" s="2"/>
    </row>
    <row r="18" spans="1:8" ht="9" customHeight="1" x14ac:dyDescent="0.3">
      <c r="A18" s="12"/>
      <c r="B18" s="56"/>
      <c r="C18" s="9"/>
      <c r="D18" s="2"/>
      <c r="E18" s="2"/>
      <c r="F18" s="2"/>
      <c r="G18" s="2"/>
      <c r="H18" s="2"/>
    </row>
    <row r="19" spans="1:8" ht="14.4" x14ac:dyDescent="0.3">
      <c r="A19" s="52" t="s">
        <v>85</v>
      </c>
      <c r="B19" s="57"/>
      <c r="C19" s="58"/>
    </row>
    <row r="20" spans="1:8" ht="28.8" x14ac:dyDescent="0.3">
      <c r="A20" s="59" t="s">
        <v>86</v>
      </c>
      <c r="B20" s="3">
        <v>60000</v>
      </c>
      <c r="C20" s="61">
        <v>41000</v>
      </c>
      <c r="E20" s="3" t="s">
        <v>81</v>
      </c>
      <c r="F20" s="3" t="s">
        <v>81</v>
      </c>
      <c r="G20" s="3" t="s">
        <v>81</v>
      </c>
    </row>
    <row r="21" spans="1:8" ht="15.75" customHeight="1" x14ac:dyDescent="0.3">
      <c r="A21" s="59" t="s">
        <v>87</v>
      </c>
      <c r="C21" s="13">
        <v>54000</v>
      </c>
      <c r="E21" s="3" t="s">
        <v>81</v>
      </c>
      <c r="F21" s="3" t="s">
        <v>81</v>
      </c>
    </row>
    <row r="22" spans="1:8" ht="15.75" customHeight="1" x14ac:dyDescent="0.3">
      <c r="A22" s="59" t="s">
        <v>70</v>
      </c>
      <c r="C22" s="13">
        <v>9000</v>
      </c>
      <c r="E22" s="3" t="s">
        <v>81</v>
      </c>
      <c r="F22" s="3" t="s">
        <v>81</v>
      </c>
      <c r="G22" s="3" t="s">
        <v>81</v>
      </c>
    </row>
    <row r="23" spans="1:8" ht="15.75" customHeight="1" x14ac:dyDescent="0.3">
      <c r="A23" s="59" t="s">
        <v>88</v>
      </c>
      <c r="C23" s="13">
        <v>18700</v>
      </c>
      <c r="E23" s="3" t="s">
        <v>81</v>
      </c>
    </row>
    <row r="24" spans="1:8" ht="15.75" customHeight="1" x14ac:dyDescent="0.3">
      <c r="A24" s="59" t="s">
        <v>89</v>
      </c>
      <c r="C24" s="13">
        <v>40000</v>
      </c>
      <c r="E24" s="3" t="s">
        <v>81</v>
      </c>
    </row>
    <row r="25" spans="1:8" ht="15.75" customHeight="1" x14ac:dyDescent="0.3">
      <c r="A25" s="59" t="s">
        <v>90</v>
      </c>
      <c r="C25" s="13">
        <v>8000</v>
      </c>
      <c r="E25" s="3" t="s">
        <v>81</v>
      </c>
    </row>
    <row r="26" spans="1:8" ht="15.75" customHeight="1" x14ac:dyDescent="0.3">
      <c r="A26" s="59" t="s">
        <v>91</v>
      </c>
      <c r="C26" s="13">
        <v>100000</v>
      </c>
      <c r="E26" s="3" t="s">
        <v>81</v>
      </c>
    </row>
    <row r="27" spans="1:8" ht="15.75" customHeight="1" x14ac:dyDescent="0.3">
      <c r="A27" s="59" t="s">
        <v>72</v>
      </c>
      <c r="C27" s="13">
        <v>12100</v>
      </c>
      <c r="E27" s="3" t="s">
        <v>81</v>
      </c>
      <c r="F27" s="3" t="s">
        <v>81</v>
      </c>
      <c r="G27" s="3" t="s">
        <v>81</v>
      </c>
    </row>
    <row r="28" spans="1:8" ht="15.75" customHeight="1" x14ac:dyDescent="0.3">
      <c r="A28" s="59" t="s">
        <v>73</v>
      </c>
      <c r="C28" s="13">
        <v>5500</v>
      </c>
      <c r="E28" s="3" t="s">
        <v>81</v>
      </c>
      <c r="F28" s="3" t="s">
        <v>81</v>
      </c>
      <c r="G28" s="3" t="s">
        <v>81</v>
      </c>
    </row>
    <row r="29" spans="1:8" ht="15.75" customHeight="1" x14ac:dyDescent="0.3">
      <c r="A29" s="59" t="s">
        <v>74</v>
      </c>
      <c r="C29" s="13">
        <v>2700</v>
      </c>
      <c r="E29" s="3" t="s">
        <v>81</v>
      </c>
      <c r="F29" s="3" t="s">
        <v>81</v>
      </c>
      <c r="G29" s="3" t="s">
        <v>81</v>
      </c>
    </row>
    <row r="30" spans="1:8" ht="15.75" customHeight="1" x14ac:dyDescent="0.3">
      <c r="A30" s="62" t="s">
        <v>92</v>
      </c>
      <c r="B30" s="63"/>
      <c r="C30" s="64">
        <f>SUM(C20:C29)</f>
        <v>291000</v>
      </c>
    </row>
    <row r="31" spans="1:8" ht="15.75" customHeight="1" x14ac:dyDescent="0.3">
      <c r="A31" s="65"/>
      <c r="C31" s="2"/>
    </row>
    <row r="32" spans="1:8" ht="15.75" customHeight="1" x14ac:dyDescent="0.3">
      <c r="A32" s="66" t="s">
        <v>93</v>
      </c>
      <c r="B32" s="8"/>
      <c r="C32" s="2"/>
      <c r="E32" s="9">
        <f>C16+C30</f>
        <v>997500</v>
      </c>
      <c r="F32" s="2">
        <f>C20+C21+C22+C27+C28+C29+C16</f>
        <v>830800</v>
      </c>
      <c r="G32" s="2">
        <f>C16+C20+C22+C27+C28+C29</f>
        <v>776800</v>
      </c>
    </row>
    <row r="33" spans="1:26" ht="15.75" customHeight="1" x14ac:dyDescent="0.3">
      <c r="A33" s="68" t="s">
        <v>94</v>
      </c>
      <c r="B33" s="44"/>
      <c r="C33" s="46"/>
      <c r="D33" s="44"/>
      <c r="E33" s="44"/>
      <c r="F33" s="44"/>
      <c r="G33" s="44"/>
      <c r="H33" s="44"/>
      <c r="I33" s="44"/>
      <c r="J33" s="44"/>
      <c r="K33" s="44"/>
      <c r="L33" s="44"/>
      <c r="M33" s="44"/>
      <c r="N33" s="44"/>
      <c r="O33" s="44"/>
      <c r="P33" s="44"/>
      <c r="Q33" s="44"/>
      <c r="R33" s="44"/>
      <c r="S33" s="44"/>
      <c r="T33" s="44"/>
      <c r="U33" s="44"/>
      <c r="V33" s="44"/>
      <c r="W33" s="44"/>
      <c r="X33" s="44"/>
      <c r="Y33" s="44"/>
      <c r="Z33" s="44"/>
    </row>
    <row r="34" spans="1:26" ht="15.75" customHeight="1" x14ac:dyDescent="0.3">
      <c r="C34" s="2"/>
    </row>
    <row r="35" spans="1:26" ht="15.75" customHeight="1" x14ac:dyDescent="0.3">
      <c r="A35" s="69" t="s">
        <v>96</v>
      </c>
      <c r="B35" s="57"/>
      <c r="C35" s="58">
        <v>27100</v>
      </c>
      <c r="E35" s="3" t="s">
        <v>81</v>
      </c>
      <c r="F35" s="3" t="s">
        <v>81</v>
      </c>
      <c r="G35" s="3" t="s">
        <v>81</v>
      </c>
    </row>
    <row r="36" spans="1:26" ht="15.75" customHeight="1" x14ac:dyDescent="0.3">
      <c r="A36" s="70" t="s">
        <v>25</v>
      </c>
      <c r="B36" s="73"/>
      <c r="C36" s="74">
        <v>60500</v>
      </c>
      <c r="E36" s="3" t="s">
        <v>81</v>
      </c>
      <c r="F36" s="3" t="s">
        <v>81</v>
      </c>
      <c r="G36" s="3" t="s">
        <v>81</v>
      </c>
    </row>
    <row r="37" spans="1:26" ht="15.75" customHeight="1" x14ac:dyDescent="0.3">
      <c r="A37" s="22" t="s">
        <v>39</v>
      </c>
      <c r="C37" s="13">
        <v>3510</v>
      </c>
      <c r="E37" s="3" t="s">
        <v>81</v>
      </c>
      <c r="F37" s="3" t="s">
        <v>81</v>
      </c>
      <c r="G37" s="3" t="s">
        <v>81</v>
      </c>
    </row>
    <row r="38" spans="1:26" ht="15.75" customHeight="1" x14ac:dyDescent="0.3">
      <c r="A38" s="69" t="s">
        <v>41</v>
      </c>
      <c r="B38" s="57"/>
      <c r="C38" s="58">
        <f>5970+650</f>
        <v>6620</v>
      </c>
      <c r="D38" s="22"/>
      <c r="E38" s="3" t="s">
        <v>81</v>
      </c>
      <c r="F38" s="3" t="s">
        <v>81</v>
      </c>
      <c r="G38" s="3" t="s">
        <v>81</v>
      </c>
    </row>
    <row r="39" spans="1:26" ht="15.75" customHeight="1" x14ac:dyDescent="0.3">
      <c r="A39" s="22" t="s">
        <v>76</v>
      </c>
      <c r="C39" s="76">
        <v>6850</v>
      </c>
      <c r="E39" s="3" t="s">
        <v>81</v>
      </c>
      <c r="F39" s="3" t="s">
        <v>81</v>
      </c>
      <c r="G39" s="3" t="s">
        <v>81</v>
      </c>
    </row>
    <row r="40" spans="1:26" ht="15.75" customHeight="1" x14ac:dyDescent="0.3">
      <c r="A40" s="22" t="s">
        <v>44</v>
      </c>
      <c r="C40" s="76">
        <v>1680</v>
      </c>
      <c r="E40" s="3" t="s">
        <v>81</v>
      </c>
      <c r="F40" s="3" t="s">
        <v>81</v>
      </c>
      <c r="G40" s="3" t="s">
        <v>81</v>
      </c>
    </row>
    <row r="41" spans="1:26" ht="15.75" customHeight="1" x14ac:dyDescent="0.3">
      <c r="A41" s="22" t="s">
        <v>78</v>
      </c>
      <c r="C41" s="76">
        <v>4207.5</v>
      </c>
      <c r="E41" s="3" t="s">
        <v>81</v>
      </c>
      <c r="F41" s="3" t="s">
        <v>81</v>
      </c>
      <c r="G41" s="3" t="s">
        <v>81</v>
      </c>
    </row>
    <row r="42" spans="1:26" ht="15.75" customHeight="1" x14ac:dyDescent="0.3">
      <c r="A42" s="22" t="s">
        <v>46</v>
      </c>
      <c r="C42" s="13">
        <v>3265.08</v>
      </c>
      <c r="D42" s="22"/>
      <c r="E42" s="3" t="s">
        <v>81</v>
      </c>
      <c r="F42" s="3" t="s">
        <v>81</v>
      </c>
      <c r="G42" s="3" t="s">
        <v>81</v>
      </c>
    </row>
    <row r="43" spans="1:26" ht="15.75" customHeight="1" x14ac:dyDescent="0.3">
      <c r="A43" s="22" t="s">
        <v>48</v>
      </c>
      <c r="C43" s="13">
        <v>600</v>
      </c>
      <c r="D43" s="22"/>
      <c r="E43" s="3" t="s">
        <v>81</v>
      </c>
      <c r="F43" s="3" t="s">
        <v>81</v>
      </c>
      <c r="G43" s="3" t="s">
        <v>81</v>
      </c>
    </row>
    <row r="44" spans="1:26" ht="15.75" customHeight="1" x14ac:dyDescent="0.3">
      <c r="A44" s="22" t="s">
        <v>49</v>
      </c>
      <c r="C44" s="13">
        <v>15400</v>
      </c>
      <c r="E44" s="3" t="s">
        <v>81</v>
      </c>
      <c r="F44" s="3" t="s">
        <v>81</v>
      </c>
      <c r="G44" s="3" t="s">
        <v>81</v>
      </c>
    </row>
    <row r="45" spans="1:26" ht="15.75" customHeight="1" x14ac:dyDescent="0.3">
      <c r="A45" s="22" t="s">
        <v>99</v>
      </c>
      <c r="C45" s="13">
        <v>3800</v>
      </c>
      <c r="E45" s="3" t="s">
        <v>81</v>
      </c>
      <c r="F45" s="3" t="s">
        <v>81</v>
      </c>
      <c r="G45" s="3" t="s">
        <v>81</v>
      </c>
    </row>
    <row r="46" spans="1:26" ht="15.75" customHeight="1" x14ac:dyDescent="0.3">
      <c r="A46" s="78" t="s">
        <v>98</v>
      </c>
      <c r="B46" s="63"/>
      <c r="C46" s="64">
        <f>SUM(C35:C45)</f>
        <v>133532.58000000002</v>
      </c>
      <c r="D46" s="26">
        <f>C46*1.2</f>
        <v>160239.09600000002</v>
      </c>
    </row>
    <row r="47" spans="1:26" ht="15.75" customHeight="1" x14ac:dyDescent="0.3">
      <c r="C47" s="2"/>
    </row>
    <row r="48" spans="1:26" ht="15.75" customHeight="1" x14ac:dyDescent="0.3">
      <c r="A48" s="52" t="s">
        <v>100</v>
      </c>
      <c r="B48" s="57"/>
      <c r="C48" s="58"/>
    </row>
    <row r="49" spans="1:26" ht="15.75" customHeight="1" x14ac:dyDescent="0.3">
      <c r="A49" s="22" t="s">
        <v>101</v>
      </c>
      <c r="C49" s="13">
        <v>2560</v>
      </c>
      <c r="E49" s="3" t="s">
        <v>81</v>
      </c>
      <c r="F49" s="3" t="s">
        <v>81</v>
      </c>
      <c r="G49" s="3" t="s">
        <v>81</v>
      </c>
    </row>
    <row r="50" spans="1:26" ht="45" customHeight="1" x14ac:dyDescent="0.3">
      <c r="A50" s="59" t="s">
        <v>102</v>
      </c>
      <c r="C50" s="13">
        <v>3500</v>
      </c>
      <c r="E50" s="3" t="s">
        <v>81</v>
      </c>
      <c r="F50" s="3" t="s">
        <v>81</v>
      </c>
    </row>
    <row r="51" spans="1:26" ht="75.75" customHeight="1" x14ac:dyDescent="0.3">
      <c r="A51" s="59" t="s">
        <v>104</v>
      </c>
      <c r="C51" s="13">
        <v>2250</v>
      </c>
      <c r="E51" s="3" t="s">
        <v>81</v>
      </c>
      <c r="F51" s="3" t="s">
        <v>81</v>
      </c>
    </row>
    <row r="52" spans="1:26" ht="15.75" customHeight="1" x14ac:dyDescent="0.3">
      <c r="A52" s="59" t="s">
        <v>105</v>
      </c>
      <c r="C52" s="13">
        <v>1500</v>
      </c>
      <c r="E52" s="3" t="s">
        <v>81</v>
      </c>
      <c r="F52" s="3" t="s">
        <v>81</v>
      </c>
    </row>
    <row r="53" spans="1:26" ht="15.75" customHeight="1" x14ac:dyDescent="0.3">
      <c r="A53" s="62" t="s">
        <v>106</v>
      </c>
      <c r="B53" s="63"/>
      <c r="C53" s="64">
        <f>SUM(C49:C52)</f>
        <v>9810</v>
      </c>
    </row>
    <row r="54" spans="1:26" ht="15.75" customHeight="1" x14ac:dyDescent="0.3">
      <c r="A54" s="8" t="s">
        <v>107</v>
      </c>
      <c r="B54" s="8"/>
      <c r="C54" s="2"/>
      <c r="E54" s="67">
        <f>C46+C53</f>
        <v>143342.58000000002</v>
      </c>
      <c r="F54" s="80">
        <f>C46+C53</f>
        <v>143342.58000000002</v>
      </c>
      <c r="G54" s="2">
        <f>C46+C49</f>
        <v>136092.58000000002</v>
      </c>
    </row>
    <row r="55" spans="1:26" ht="6.75" customHeight="1" x14ac:dyDescent="0.3">
      <c r="C55" s="2"/>
    </row>
    <row r="56" spans="1:26" ht="15.75" customHeight="1" x14ac:dyDescent="0.3">
      <c r="A56" s="40" t="s">
        <v>116</v>
      </c>
      <c r="B56" s="44"/>
      <c r="C56" s="46"/>
      <c r="D56" s="44"/>
      <c r="E56" s="44"/>
      <c r="F56" s="44"/>
      <c r="G56" s="44"/>
      <c r="H56" s="44"/>
      <c r="I56" s="44"/>
      <c r="J56" s="44"/>
      <c r="K56" s="44"/>
      <c r="L56" s="44"/>
      <c r="M56" s="44"/>
      <c r="N56" s="44"/>
      <c r="O56" s="44"/>
      <c r="P56" s="44"/>
      <c r="Q56" s="44"/>
      <c r="R56" s="44"/>
      <c r="S56" s="44"/>
      <c r="T56" s="44"/>
      <c r="U56" s="44"/>
      <c r="V56" s="44"/>
      <c r="W56" s="44"/>
      <c r="X56" s="44"/>
      <c r="Y56" s="44"/>
      <c r="Z56" s="44"/>
    </row>
    <row r="57" spans="1:26" ht="15.75" customHeight="1" x14ac:dyDescent="0.3">
      <c r="C57" s="2" t="s">
        <v>109</v>
      </c>
      <c r="D57" s="3" t="s">
        <v>111</v>
      </c>
      <c r="F57" s="8" t="s">
        <v>112</v>
      </c>
    </row>
    <row r="58" spans="1:26" ht="15.75" customHeight="1" x14ac:dyDescent="0.3">
      <c r="A58" s="3" t="s">
        <v>113</v>
      </c>
      <c r="C58" s="2">
        <v>99405</v>
      </c>
      <c r="D58" s="2">
        <v>99405</v>
      </c>
      <c r="E58" s="2"/>
    </row>
    <row r="59" spans="1:26" ht="15.75" customHeight="1" x14ac:dyDescent="0.3">
      <c r="A59" s="3" t="s">
        <v>114</v>
      </c>
      <c r="C59" s="2">
        <v>60450</v>
      </c>
      <c r="D59" s="2">
        <v>60450</v>
      </c>
      <c r="E59" s="2"/>
      <c r="F59" s="81" t="s">
        <v>115</v>
      </c>
    </row>
    <row r="60" spans="1:26" ht="15.75" customHeight="1" x14ac:dyDescent="0.3">
      <c r="A60" s="3" t="s">
        <v>117</v>
      </c>
      <c r="C60" s="82">
        <f>0.2*C16</f>
        <v>141300</v>
      </c>
      <c r="D60" s="82">
        <f>0.3*C16</f>
        <v>211950</v>
      </c>
      <c r="E60" s="2"/>
      <c r="F60" s="83" t="s">
        <v>126</v>
      </c>
    </row>
    <row r="61" spans="1:26" ht="15.75" customHeight="1" x14ac:dyDescent="0.3">
      <c r="A61" s="3" t="s">
        <v>121</v>
      </c>
      <c r="C61" s="82">
        <f>C16*0.2</f>
        <v>141300</v>
      </c>
      <c r="D61" s="84">
        <v>0</v>
      </c>
      <c r="F61" s="81" t="s">
        <v>122</v>
      </c>
    </row>
    <row r="62" spans="1:26" ht="15.75" customHeight="1" x14ac:dyDescent="0.3">
      <c r="A62" s="3" t="s">
        <v>123</v>
      </c>
      <c r="C62" s="2">
        <f t="shared" ref="C62:D62" si="5">0.8*$C$37+0.65*$C$35+13950</f>
        <v>34373</v>
      </c>
      <c r="D62" s="2">
        <f t="shared" si="5"/>
        <v>34373</v>
      </c>
      <c r="F62" s="83" t="s">
        <v>124</v>
      </c>
    </row>
    <row r="63" spans="1:26" ht="15.75" hidden="1" customHeight="1" x14ac:dyDescent="0.3">
      <c r="A63" s="3" t="s">
        <v>125</v>
      </c>
      <c r="C63" s="2"/>
      <c r="F63" s="81" t="s">
        <v>122</v>
      </c>
    </row>
    <row r="64" spans="1:26" ht="15.75" customHeight="1" x14ac:dyDescent="0.3">
      <c r="A64" s="3" t="s">
        <v>49</v>
      </c>
      <c r="C64" s="2">
        <v>25000</v>
      </c>
      <c r="D64" s="2">
        <v>25000</v>
      </c>
      <c r="E64" s="2"/>
      <c r="F64" s="83"/>
    </row>
    <row r="65" spans="1:6" ht="15.75" customHeight="1" x14ac:dyDescent="0.3">
      <c r="A65" s="3" t="s">
        <v>127</v>
      </c>
      <c r="C65" s="82">
        <v>0</v>
      </c>
      <c r="D65" s="84">
        <v>100000</v>
      </c>
      <c r="F65" s="83" t="s">
        <v>142</v>
      </c>
    </row>
    <row r="66" spans="1:6" ht="15.75" customHeight="1" x14ac:dyDescent="0.3">
      <c r="A66" s="3" t="s">
        <v>129</v>
      </c>
      <c r="C66" s="2">
        <f>10000+4700</f>
        <v>14700</v>
      </c>
      <c r="D66" s="2">
        <v>14700</v>
      </c>
      <c r="F66" s="83" t="s">
        <v>131</v>
      </c>
    </row>
    <row r="67" spans="1:6" ht="15.75" customHeight="1" x14ac:dyDescent="0.3">
      <c r="A67" s="3" t="s">
        <v>132</v>
      </c>
      <c r="C67" s="82">
        <v>0</v>
      </c>
      <c r="D67" s="82">
        <v>60000</v>
      </c>
      <c r="E67" s="2"/>
      <c r="F67" s="81" t="s">
        <v>122</v>
      </c>
    </row>
    <row r="68" spans="1:6" ht="15.75" customHeight="1" x14ac:dyDescent="0.3">
      <c r="A68" s="3" t="s">
        <v>145</v>
      </c>
      <c r="C68" s="82">
        <v>0</v>
      </c>
      <c r="D68" s="82">
        <v>0</v>
      </c>
      <c r="E68" s="2"/>
      <c r="F68" s="81" t="s">
        <v>122</v>
      </c>
    </row>
    <row r="69" spans="1:6" ht="15.75" customHeight="1" x14ac:dyDescent="0.3">
      <c r="A69" s="3" t="s">
        <v>137</v>
      </c>
      <c r="C69" s="82">
        <v>0</v>
      </c>
      <c r="D69" s="82">
        <v>0</v>
      </c>
      <c r="E69" s="2"/>
      <c r="F69" s="81" t="s">
        <v>122</v>
      </c>
    </row>
    <row r="70" spans="1:6" ht="15.75" customHeight="1" x14ac:dyDescent="0.3">
      <c r="A70" s="3" t="s">
        <v>146</v>
      </c>
      <c r="C70" s="82">
        <v>0</v>
      </c>
      <c r="D70" s="82">
        <v>0</v>
      </c>
      <c r="E70" s="2"/>
      <c r="F70" s="81" t="s">
        <v>122</v>
      </c>
    </row>
    <row r="71" spans="1:6" ht="15.75" customHeight="1" x14ac:dyDescent="0.3">
      <c r="A71" s="85" t="s">
        <v>147</v>
      </c>
      <c r="C71" s="2"/>
    </row>
    <row r="72" spans="1:6" ht="15.75" customHeight="1" x14ac:dyDescent="0.3">
      <c r="A72" s="88" t="s">
        <v>148</v>
      </c>
      <c r="B72" s="87"/>
      <c r="C72" s="19">
        <f t="shared" ref="C72:D72" si="6">SUM(C58:C70)</f>
        <v>516528</v>
      </c>
      <c r="D72" s="23">
        <f t="shared" si="6"/>
        <v>605878</v>
      </c>
    </row>
    <row r="73" spans="1:6" ht="15.75" customHeight="1" x14ac:dyDescent="0.3">
      <c r="C73" s="2"/>
    </row>
    <row r="74" spans="1:6" ht="15.75" customHeight="1" x14ac:dyDescent="0.3">
      <c r="A74" s="83" t="s">
        <v>149</v>
      </c>
      <c r="B74" s="8"/>
      <c r="C74" s="111" t="s">
        <v>150</v>
      </c>
      <c r="D74" s="112"/>
    </row>
    <row r="75" spans="1:6" ht="15.75" customHeight="1" x14ac:dyDescent="0.3">
      <c r="C75" s="2"/>
      <c r="E75" s="2"/>
    </row>
    <row r="76" spans="1:6" ht="15.75" hidden="1" customHeight="1" x14ac:dyDescent="0.3">
      <c r="C76" s="2"/>
      <c r="D76" s="3" t="s">
        <v>151</v>
      </c>
    </row>
    <row r="77" spans="1:6" ht="15.75" customHeight="1" x14ac:dyDescent="0.3">
      <c r="C77" s="2"/>
    </row>
    <row r="78" spans="1:6" ht="15.75" customHeight="1" x14ac:dyDescent="0.3">
      <c r="C78" s="2">
        <v>60000</v>
      </c>
      <c r="D78" s="2">
        <f>D59+D64+D66/2</f>
        <v>92800</v>
      </c>
    </row>
    <row r="79" spans="1:6" ht="15.75" customHeight="1" x14ac:dyDescent="0.3">
      <c r="C79" s="2"/>
      <c r="F79" s="3" t="s">
        <v>152</v>
      </c>
    </row>
    <row r="80" spans="1:6" ht="15.75" customHeight="1" x14ac:dyDescent="0.3">
      <c r="C80" s="2"/>
    </row>
    <row r="81" spans="1:4" ht="15.75" customHeight="1" x14ac:dyDescent="0.3">
      <c r="A81" s="91"/>
      <c r="C81" s="2"/>
    </row>
    <row r="82" spans="1:4" ht="48" customHeight="1" x14ac:dyDescent="0.3">
      <c r="C82" s="2"/>
      <c r="D82" s="9"/>
    </row>
    <row r="83" spans="1:4" ht="15.75" customHeight="1" x14ac:dyDescent="0.3">
      <c r="C83" s="2"/>
    </row>
    <row r="84" spans="1:4" ht="15.75" customHeight="1" x14ac:dyDescent="0.3">
      <c r="C84" s="2"/>
    </row>
    <row r="85" spans="1:4" ht="15.75" customHeight="1" x14ac:dyDescent="0.3">
      <c r="C85" s="2"/>
    </row>
    <row r="86" spans="1:4" ht="15.75" customHeight="1" x14ac:dyDescent="0.3">
      <c r="C86" s="2"/>
    </row>
    <row r="87" spans="1:4" ht="15.75" customHeight="1" x14ac:dyDescent="0.3">
      <c r="C87" s="2"/>
    </row>
    <row r="88" spans="1:4" ht="15.75" customHeight="1" x14ac:dyDescent="0.3">
      <c r="A88" s="60">
        <v>2000000</v>
      </c>
      <c r="C88" s="2"/>
    </row>
    <row r="89" spans="1:4" ht="15.75" customHeight="1" x14ac:dyDescent="0.3">
      <c r="A89" s="60">
        <f>0.6*A88</f>
        <v>1200000</v>
      </c>
      <c r="C89" s="2"/>
    </row>
    <row r="90" spans="1:4" ht="15.75" customHeight="1" x14ac:dyDescent="0.3">
      <c r="A90" s="60">
        <f>300000+400000+150000</f>
        <v>850000</v>
      </c>
      <c r="C90" s="2"/>
    </row>
    <row r="91" spans="1:4" ht="15.75" customHeight="1" x14ac:dyDescent="0.3">
      <c r="A91" s="60">
        <f>A89-A90</f>
        <v>350000</v>
      </c>
      <c r="C91" s="2"/>
    </row>
    <row r="92" spans="1:4" ht="15.75" customHeight="1" x14ac:dyDescent="0.3">
      <c r="A92" s="60"/>
      <c r="C92" s="2"/>
    </row>
    <row r="93" spans="1:4" ht="15.75" customHeight="1" x14ac:dyDescent="0.3">
      <c r="C93" s="2"/>
    </row>
    <row r="94" spans="1:4" ht="15.75" customHeight="1" x14ac:dyDescent="0.3">
      <c r="C94" s="2"/>
    </row>
    <row r="95" spans="1:4" ht="15.75" customHeight="1" x14ac:dyDescent="0.3">
      <c r="C95" s="2"/>
    </row>
    <row r="96" spans="1:4" ht="15.75" customHeight="1" x14ac:dyDescent="0.3">
      <c r="C96" s="2"/>
    </row>
    <row r="97" spans="3:3" ht="15.75" customHeight="1" x14ac:dyDescent="0.3">
      <c r="C97" s="2"/>
    </row>
    <row r="98" spans="3:3" ht="15.75" customHeight="1" x14ac:dyDescent="0.3">
      <c r="C98" s="2"/>
    </row>
    <row r="99" spans="3:3" ht="15.75" customHeight="1" x14ac:dyDescent="0.3">
      <c r="C99" s="2"/>
    </row>
    <row r="100" spans="3:3" ht="15.75" customHeight="1" x14ac:dyDescent="0.3">
      <c r="C100" s="2"/>
    </row>
    <row r="101" spans="3:3" ht="15.75" customHeight="1" x14ac:dyDescent="0.3">
      <c r="C101" s="2"/>
    </row>
    <row r="102" spans="3:3" ht="15.75" customHeight="1" x14ac:dyDescent="0.3">
      <c r="C102" s="2"/>
    </row>
    <row r="103" spans="3:3" ht="15.75" customHeight="1" x14ac:dyDescent="0.3">
      <c r="C103" s="2"/>
    </row>
    <row r="104" spans="3:3" ht="15.75" customHeight="1" x14ac:dyDescent="0.3">
      <c r="C104" s="2"/>
    </row>
    <row r="105" spans="3:3" ht="15.75" customHeight="1" x14ac:dyDescent="0.3">
      <c r="C105" s="2"/>
    </row>
    <row r="106" spans="3:3" ht="15.75" customHeight="1" x14ac:dyDescent="0.3">
      <c r="C106" s="2"/>
    </row>
    <row r="107" spans="3:3" ht="15.75" customHeight="1" x14ac:dyDescent="0.3">
      <c r="C107" s="2"/>
    </row>
    <row r="108" spans="3:3" ht="15.75" customHeight="1" x14ac:dyDescent="0.3">
      <c r="C108" s="2"/>
    </row>
    <row r="109" spans="3:3" ht="15.75" customHeight="1" x14ac:dyDescent="0.3">
      <c r="C109" s="2"/>
    </row>
    <row r="110" spans="3:3" ht="15.75" customHeight="1" x14ac:dyDescent="0.3">
      <c r="C110" s="2"/>
    </row>
    <row r="111" spans="3:3" ht="15.75" customHeight="1" x14ac:dyDescent="0.3">
      <c r="C111" s="2"/>
    </row>
    <row r="112" spans="3:3" ht="15.75" customHeight="1" x14ac:dyDescent="0.3">
      <c r="C112" s="2"/>
    </row>
    <row r="113" spans="3:3" ht="15.75" customHeight="1" x14ac:dyDescent="0.3">
      <c r="C113" s="2"/>
    </row>
    <row r="114" spans="3:3" ht="15.75" customHeight="1" x14ac:dyDescent="0.3">
      <c r="C114" s="2"/>
    </row>
    <row r="115" spans="3:3" ht="15.75" customHeight="1" x14ac:dyDescent="0.3">
      <c r="C115" s="2"/>
    </row>
    <row r="116" spans="3:3" ht="15.75" customHeight="1" x14ac:dyDescent="0.3">
      <c r="C116" s="2"/>
    </row>
    <row r="117" spans="3:3" ht="15.75" customHeight="1" x14ac:dyDescent="0.3">
      <c r="C117" s="2"/>
    </row>
    <row r="118" spans="3:3" ht="15.75" customHeight="1" x14ac:dyDescent="0.3">
      <c r="C118" s="2"/>
    </row>
    <row r="119" spans="3:3" ht="15.75" customHeight="1" x14ac:dyDescent="0.3">
      <c r="C119" s="2"/>
    </row>
    <row r="120" spans="3:3" ht="15.75" customHeight="1" x14ac:dyDescent="0.3">
      <c r="C120" s="2"/>
    </row>
    <row r="121" spans="3:3" ht="15.75" customHeight="1" x14ac:dyDescent="0.3">
      <c r="C121" s="2"/>
    </row>
    <row r="122" spans="3:3" ht="15.75" customHeight="1" x14ac:dyDescent="0.3">
      <c r="C122" s="2"/>
    </row>
    <row r="123" spans="3:3" ht="15.75" customHeight="1" x14ac:dyDescent="0.3">
      <c r="C123" s="2"/>
    </row>
    <row r="124" spans="3:3" ht="15.75" customHeight="1" x14ac:dyDescent="0.3">
      <c r="C124" s="2"/>
    </row>
    <row r="125" spans="3:3" ht="15.75" customHeight="1" x14ac:dyDescent="0.3">
      <c r="C125" s="2"/>
    </row>
    <row r="126" spans="3:3" ht="15.75" customHeight="1" x14ac:dyDescent="0.3">
      <c r="C126" s="2"/>
    </row>
    <row r="127" spans="3:3" ht="15.75" customHeight="1" x14ac:dyDescent="0.3">
      <c r="C127" s="2"/>
    </row>
    <row r="128" spans="3:3" ht="15.75" customHeight="1" x14ac:dyDescent="0.3">
      <c r="C128" s="2"/>
    </row>
    <row r="129" spans="3:3" ht="15.75" customHeight="1" x14ac:dyDescent="0.3">
      <c r="C129" s="2"/>
    </row>
    <row r="130" spans="3:3" ht="15.75" customHeight="1" x14ac:dyDescent="0.3">
      <c r="C130" s="2"/>
    </row>
    <row r="131" spans="3:3" ht="15.75" customHeight="1" x14ac:dyDescent="0.3">
      <c r="C131" s="2"/>
    </row>
    <row r="132" spans="3:3" ht="15.75" customHeight="1" x14ac:dyDescent="0.3">
      <c r="C132" s="2"/>
    </row>
    <row r="133" spans="3:3" ht="15.75" customHeight="1" x14ac:dyDescent="0.3">
      <c r="C133" s="2"/>
    </row>
    <row r="134" spans="3:3" ht="15.75" customHeight="1" x14ac:dyDescent="0.3">
      <c r="C134" s="2"/>
    </row>
    <row r="135" spans="3:3" ht="15.75" customHeight="1" x14ac:dyDescent="0.3">
      <c r="C135" s="2"/>
    </row>
    <row r="136" spans="3:3" ht="15.75" customHeight="1" x14ac:dyDescent="0.3">
      <c r="C136" s="2"/>
    </row>
    <row r="137" spans="3:3" ht="15.75" customHeight="1" x14ac:dyDescent="0.3">
      <c r="C137" s="2"/>
    </row>
    <row r="138" spans="3:3" ht="15.75" customHeight="1" x14ac:dyDescent="0.3">
      <c r="C138" s="2"/>
    </row>
    <row r="139" spans="3:3" ht="15.75" customHeight="1" x14ac:dyDescent="0.3">
      <c r="C139" s="2"/>
    </row>
    <row r="140" spans="3:3" ht="15.75" customHeight="1" x14ac:dyDescent="0.3">
      <c r="C140" s="2"/>
    </row>
    <row r="141" spans="3:3" ht="15.75" customHeight="1" x14ac:dyDescent="0.3">
      <c r="C141" s="2"/>
    </row>
    <row r="142" spans="3:3" ht="15.75" customHeight="1" x14ac:dyDescent="0.3">
      <c r="C142" s="2"/>
    </row>
    <row r="143" spans="3:3" ht="15.75" customHeight="1" x14ac:dyDescent="0.3">
      <c r="C143" s="2"/>
    </row>
    <row r="144" spans="3:3" ht="15.75" customHeight="1" x14ac:dyDescent="0.3">
      <c r="C144" s="2"/>
    </row>
    <row r="145" spans="3:3" ht="15.75" customHeight="1" x14ac:dyDescent="0.3">
      <c r="C145" s="2"/>
    </row>
    <row r="146" spans="3:3" ht="15.75" customHeight="1" x14ac:dyDescent="0.3">
      <c r="C146" s="2"/>
    </row>
    <row r="147" spans="3:3" ht="15.75" customHeight="1" x14ac:dyDescent="0.3">
      <c r="C147" s="2"/>
    </row>
    <row r="148" spans="3:3" ht="15.75" customHeight="1" x14ac:dyDescent="0.3">
      <c r="C148" s="2"/>
    </row>
    <row r="149" spans="3:3" ht="15.75" customHeight="1" x14ac:dyDescent="0.3">
      <c r="C149" s="2"/>
    </row>
    <row r="150" spans="3:3" ht="15.75" customHeight="1" x14ac:dyDescent="0.3">
      <c r="C150" s="2"/>
    </row>
    <row r="151" spans="3:3" ht="15.75" customHeight="1" x14ac:dyDescent="0.3">
      <c r="C151" s="2"/>
    </row>
    <row r="152" spans="3:3" ht="15.75" customHeight="1" x14ac:dyDescent="0.3">
      <c r="C152" s="2"/>
    </row>
    <row r="153" spans="3:3" ht="15.75" customHeight="1" x14ac:dyDescent="0.3">
      <c r="C153" s="2"/>
    </row>
    <row r="154" spans="3:3" ht="15.75" customHeight="1" x14ac:dyDescent="0.3">
      <c r="C154" s="2"/>
    </row>
    <row r="155" spans="3:3" ht="15.75" customHeight="1" x14ac:dyDescent="0.3">
      <c r="C155" s="2"/>
    </row>
    <row r="156" spans="3:3" ht="15.75" customHeight="1" x14ac:dyDescent="0.3">
      <c r="C156" s="2"/>
    </row>
    <row r="157" spans="3:3" ht="15.75" customHeight="1" x14ac:dyDescent="0.3">
      <c r="C157" s="2"/>
    </row>
    <row r="158" spans="3:3" ht="15.75" customHeight="1" x14ac:dyDescent="0.3">
      <c r="C158" s="2"/>
    </row>
    <row r="159" spans="3:3" ht="15.75" customHeight="1" x14ac:dyDescent="0.3">
      <c r="C159" s="2"/>
    </row>
    <row r="160" spans="3:3" ht="15.75" customHeight="1" x14ac:dyDescent="0.3">
      <c r="C160" s="2"/>
    </row>
    <row r="161" spans="3:3" ht="15.75" customHeight="1" x14ac:dyDescent="0.3">
      <c r="C161" s="2"/>
    </row>
    <row r="162" spans="3:3" ht="15.75" customHeight="1" x14ac:dyDescent="0.3">
      <c r="C162" s="2"/>
    </row>
    <row r="163" spans="3:3" ht="15.75" customHeight="1" x14ac:dyDescent="0.3">
      <c r="C163" s="2"/>
    </row>
    <row r="164" spans="3:3" ht="15.75" customHeight="1" x14ac:dyDescent="0.3">
      <c r="C164" s="2"/>
    </row>
    <row r="165" spans="3:3" ht="15.75" customHeight="1" x14ac:dyDescent="0.3">
      <c r="C165" s="2"/>
    </row>
    <row r="166" spans="3:3" ht="15.75" customHeight="1" x14ac:dyDescent="0.3">
      <c r="C166" s="2"/>
    </row>
    <row r="167" spans="3:3" ht="15.75" customHeight="1" x14ac:dyDescent="0.3">
      <c r="C167" s="2"/>
    </row>
    <row r="168" spans="3:3" ht="15.75" customHeight="1" x14ac:dyDescent="0.3">
      <c r="C168" s="2"/>
    </row>
    <row r="169" spans="3:3" ht="15.75" customHeight="1" x14ac:dyDescent="0.3">
      <c r="C169" s="2"/>
    </row>
    <row r="170" spans="3:3" ht="15.75" customHeight="1" x14ac:dyDescent="0.3">
      <c r="C170" s="2"/>
    </row>
    <row r="171" spans="3:3" ht="15.75" customHeight="1" x14ac:dyDescent="0.3">
      <c r="C171" s="2"/>
    </row>
    <row r="172" spans="3:3" ht="15.75" customHeight="1" x14ac:dyDescent="0.3">
      <c r="C172" s="2"/>
    </row>
    <row r="173" spans="3:3" ht="15.75" customHeight="1" x14ac:dyDescent="0.3">
      <c r="C173" s="2"/>
    </row>
    <row r="174" spans="3:3" ht="15.75" customHeight="1" x14ac:dyDescent="0.3">
      <c r="C174" s="2"/>
    </row>
    <row r="175" spans="3:3" ht="15.75" customHeight="1" x14ac:dyDescent="0.3">
      <c r="C175" s="2"/>
    </row>
    <row r="176" spans="3:3" ht="15.75" customHeight="1" x14ac:dyDescent="0.3">
      <c r="C176" s="2"/>
    </row>
    <row r="177" spans="3:3" ht="15.75" customHeight="1" x14ac:dyDescent="0.3">
      <c r="C177" s="2"/>
    </row>
    <row r="178" spans="3:3" ht="15.75" customHeight="1" x14ac:dyDescent="0.3">
      <c r="C178" s="2"/>
    </row>
    <row r="179" spans="3:3" ht="15.75" customHeight="1" x14ac:dyDescent="0.3">
      <c r="C179" s="2"/>
    </row>
    <row r="180" spans="3:3" ht="15.75" customHeight="1" x14ac:dyDescent="0.3">
      <c r="C180" s="2"/>
    </row>
    <row r="181" spans="3:3" ht="15.75" customHeight="1" x14ac:dyDescent="0.3">
      <c r="C181" s="2"/>
    </row>
    <row r="182" spans="3:3" ht="15.75" customHeight="1" x14ac:dyDescent="0.3">
      <c r="C182" s="2"/>
    </row>
    <row r="183" spans="3:3" ht="15.75" customHeight="1" x14ac:dyDescent="0.3">
      <c r="C183" s="2"/>
    </row>
    <row r="184" spans="3:3" ht="15.75" customHeight="1" x14ac:dyDescent="0.3">
      <c r="C184" s="2"/>
    </row>
    <row r="185" spans="3:3" ht="15.75" customHeight="1" x14ac:dyDescent="0.3">
      <c r="C185" s="2"/>
    </row>
    <row r="186" spans="3:3" ht="15.75" customHeight="1" x14ac:dyDescent="0.3">
      <c r="C186" s="2"/>
    </row>
    <row r="187" spans="3:3" ht="15.75" customHeight="1" x14ac:dyDescent="0.3">
      <c r="C187" s="2"/>
    </row>
    <row r="188" spans="3:3" ht="15.75" customHeight="1" x14ac:dyDescent="0.3">
      <c r="C188" s="2"/>
    </row>
    <row r="189" spans="3:3" ht="15.75" customHeight="1" x14ac:dyDescent="0.3">
      <c r="C189" s="2"/>
    </row>
    <row r="190" spans="3:3" ht="15.75" customHeight="1" x14ac:dyDescent="0.3">
      <c r="C190" s="2"/>
    </row>
    <row r="191" spans="3:3" ht="15.75" customHeight="1" x14ac:dyDescent="0.3">
      <c r="C191" s="2"/>
    </row>
    <row r="192" spans="3:3" ht="15.75" customHeight="1" x14ac:dyDescent="0.3">
      <c r="C192" s="2"/>
    </row>
    <row r="193" spans="3:3" ht="15.75" customHeight="1" x14ac:dyDescent="0.3">
      <c r="C193" s="2"/>
    </row>
    <row r="194" spans="3:3" ht="15.75" customHeight="1" x14ac:dyDescent="0.3">
      <c r="C194" s="2"/>
    </row>
    <row r="195" spans="3:3" ht="15.75" customHeight="1" x14ac:dyDescent="0.3">
      <c r="C195" s="2"/>
    </row>
    <row r="196" spans="3:3" ht="15.75" customHeight="1" x14ac:dyDescent="0.3">
      <c r="C196" s="2"/>
    </row>
    <row r="197" spans="3:3" ht="15.75" customHeight="1" x14ac:dyDescent="0.3">
      <c r="C197" s="2"/>
    </row>
    <row r="198" spans="3:3" ht="15.75" customHeight="1" x14ac:dyDescent="0.3">
      <c r="C198" s="2"/>
    </row>
    <row r="199" spans="3:3" ht="15.75" customHeight="1" x14ac:dyDescent="0.3">
      <c r="C199" s="2"/>
    </row>
    <row r="200" spans="3:3" ht="15.75" customHeight="1" x14ac:dyDescent="0.3">
      <c r="C200" s="2"/>
    </row>
    <row r="201" spans="3:3" ht="15.75" customHeight="1" x14ac:dyDescent="0.3">
      <c r="C201" s="2"/>
    </row>
    <row r="202" spans="3:3" ht="15.75" customHeight="1" x14ac:dyDescent="0.3">
      <c r="C202" s="2"/>
    </row>
    <row r="203" spans="3:3" ht="15.75" customHeight="1" x14ac:dyDescent="0.3">
      <c r="C203" s="2"/>
    </row>
    <row r="204" spans="3:3" ht="15.75" customHeight="1" x14ac:dyDescent="0.3">
      <c r="C204" s="2"/>
    </row>
    <row r="205" spans="3:3" ht="15.75" customHeight="1" x14ac:dyDescent="0.3">
      <c r="C205" s="2"/>
    </row>
    <row r="206" spans="3:3" ht="15.75" customHeight="1" x14ac:dyDescent="0.3">
      <c r="C206" s="2"/>
    </row>
    <row r="207" spans="3:3" ht="15.75" customHeight="1" x14ac:dyDescent="0.3">
      <c r="C207" s="2"/>
    </row>
    <row r="208" spans="3:3" ht="15.75" customHeight="1" x14ac:dyDescent="0.3">
      <c r="C208" s="2"/>
    </row>
    <row r="209" spans="3:3" ht="15.75" customHeight="1" x14ac:dyDescent="0.3">
      <c r="C209" s="2"/>
    </row>
    <row r="210" spans="3:3" ht="15.75" customHeight="1" x14ac:dyDescent="0.3">
      <c r="C210" s="2"/>
    </row>
    <row r="211" spans="3:3" ht="15.75" customHeight="1" x14ac:dyDescent="0.3">
      <c r="C211" s="2"/>
    </row>
    <row r="212" spans="3:3" ht="15.75" customHeight="1" x14ac:dyDescent="0.3">
      <c r="C212" s="2"/>
    </row>
    <row r="213" spans="3:3" ht="15.75" customHeight="1" x14ac:dyDescent="0.3">
      <c r="C213" s="2"/>
    </row>
    <row r="214" spans="3:3" ht="15.75" customHeight="1" x14ac:dyDescent="0.3">
      <c r="C214" s="2"/>
    </row>
    <row r="215" spans="3:3" ht="15.75" customHeight="1" x14ac:dyDescent="0.3">
      <c r="C215" s="2"/>
    </row>
    <row r="216" spans="3:3" ht="15.75" customHeight="1" x14ac:dyDescent="0.3">
      <c r="C216" s="2"/>
    </row>
    <row r="217" spans="3:3" ht="15.75" customHeight="1" x14ac:dyDescent="0.3">
      <c r="C217" s="2"/>
    </row>
    <row r="218" spans="3:3" ht="15.75" customHeight="1" x14ac:dyDescent="0.3">
      <c r="C218" s="2"/>
    </row>
    <row r="219" spans="3:3" ht="15.75" customHeight="1" x14ac:dyDescent="0.3">
      <c r="C219" s="2"/>
    </row>
    <row r="220" spans="3:3" ht="15.75" customHeight="1" x14ac:dyDescent="0.3">
      <c r="C220" s="2"/>
    </row>
    <row r="221" spans="3:3" ht="15.75" customHeight="1" x14ac:dyDescent="0.3">
      <c r="C221" s="2"/>
    </row>
    <row r="222" spans="3:3" ht="15.75" customHeight="1" x14ac:dyDescent="0.3">
      <c r="C222" s="2"/>
    </row>
    <row r="223" spans="3:3" ht="15.75" customHeight="1" x14ac:dyDescent="0.3">
      <c r="C223" s="2"/>
    </row>
    <row r="224" spans="3:3" ht="15.75" customHeight="1" x14ac:dyDescent="0.3">
      <c r="C224" s="2"/>
    </row>
    <row r="225" spans="3:3" ht="15.75" customHeight="1" x14ac:dyDescent="0.3">
      <c r="C225" s="2"/>
    </row>
    <row r="226" spans="3:3" ht="15.75" customHeight="1" x14ac:dyDescent="0.3">
      <c r="C226" s="2"/>
    </row>
    <row r="227" spans="3:3" ht="15.75" customHeight="1" x14ac:dyDescent="0.3">
      <c r="C227" s="2"/>
    </row>
    <row r="228" spans="3:3" ht="15.75" customHeight="1" x14ac:dyDescent="0.3">
      <c r="C228" s="2"/>
    </row>
    <row r="229" spans="3:3" ht="15.75" customHeight="1" x14ac:dyDescent="0.3">
      <c r="C229" s="2"/>
    </row>
    <row r="230" spans="3:3" ht="15.75" customHeight="1" x14ac:dyDescent="0.3">
      <c r="C230" s="2"/>
    </row>
    <row r="231" spans="3:3" ht="15.75" customHeight="1" x14ac:dyDescent="0.3">
      <c r="C231" s="2"/>
    </row>
    <row r="232" spans="3:3" ht="15.75" customHeight="1" x14ac:dyDescent="0.3">
      <c r="C232" s="2"/>
    </row>
    <row r="233" spans="3:3" ht="15.75" customHeight="1" x14ac:dyDescent="0.3">
      <c r="C233" s="2"/>
    </row>
    <row r="234" spans="3:3" ht="15.75" customHeight="1" x14ac:dyDescent="0.3">
      <c r="C234" s="2"/>
    </row>
    <row r="235" spans="3:3" ht="15.75" customHeight="1" x14ac:dyDescent="0.3">
      <c r="C235" s="2"/>
    </row>
    <row r="236" spans="3:3" ht="15.75" customHeight="1" x14ac:dyDescent="0.3">
      <c r="C236" s="2"/>
    </row>
    <row r="237" spans="3:3" ht="15.75" customHeight="1" x14ac:dyDescent="0.3">
      <c r="C237" s="2"/>
    </row>
    <row r="238" spans="3:3" ht="15.75" customHeight="1" x14ac:dyDescent="0.3">
      <c r="C238" s="2"/>
    </row>
    <row r="239" spans="3:3" ht="15.75" customHeight="1" x14ac:dyDescent="0.3">
      <c r="C239" s="2"/>
    </row>
    <row r="240" spans="3:3" ht="15.75" customHeight="1" x14ac:dyDescent="0.3">
      <c r="C240" s="2"/>
    </row>
    <row r="241" spans="3:3" ht="15.75" customHeight="1" x14ac:dyDescent="0.3">
      <c r="C241" s="2"/>
    </row>
    <row r="242" spans="3:3" ht="15.75" customHeight="1" x14ac:dyDescent="0.3">
      <c r="C242" s="2"/>
    </row>
    <row r="243" spans="3:3" ht="15.75" customHeight="1" x14ac:dyDescent="0.3">
      <c r="C243" s="2"/>
    </row>
    <row r="244" spans="3:3" ht="15.75" customHeight="1" x14ac:dyDescent="0.3">
      <c r="C244" s="2"/>
    </row>
    <row r="245" spans="3:3" ht="15.75" customHeight="1" x14ac:dyDescent="0.3">
      <c r="C245" s="2"/>
    </row>
    <row r="246" spans="3:3" ht="15.75" customHeight="1" x14ac:dyDescent="0.3">
      <c r="C246" s="2"/>
    </row>
    <row r="247" spans="3:3" ht="15.75" customHeight="1" x14ac:dyDescent="0.3">
      <c r="C247" s="2"/>
    </row>
    <row r="248" spans="3:3" ht="15.75" customHeight="1" x14ac:dyDescent="0.3">
      <c r="C248" s="2"/>
    </row>
    <row r="249" spans="3:3" ht="15.75" customHeight="1" x14ac:dyDescent="0.3">
      <c r="C249" s="2"/>
    </row>
    <row r="250" spans="3:3" ht="15.75" customHeight="1" x14ac:dyDescent="0.3">
      <c r="C250" s="2"/>
    </row>
    <row r="251" spans="3:3" ht="15.75" customHeight="1" x14ac:dyDescent="0.3">
      <c r="C251" s="2"/>
    </row>
    <row r="252" spans="3:3" ht="15.75" customHeight="1" x14ac:dyDescent="0.3">
      <c r="C252" s="2"/>
    </row>
    <row r="253" spans="3:3" ht="15.75" customHeight="1" x14ac:dyDescent="0.3">
      <c r="C253" s="2"/>
    </row>
    <row r="254" spans="3:3" ht="15.75" customHeight="1" x14ac:dyDescent="0.3">
      <c r="C254" s="2"/>
    </row>
    <row r="255" spans="3:3" ht="15.75" customHeight="1" x14ac:dyDescent="0.3">
      <c r="C255" s="2"/>
    </row>
    <row r="256" spans="3:3" ht="15.75" customHeight="1" x14ac:dyDescent="0.3">
      <c r="C256" s="2"/>
    </row>
    <row r="257" spans="3:3" ht="15.75" customHeight="1" x14ac:dyDescent="0.3">
      <c r="C257" s="2"/>
    </row>
    <row r="258" spans="3:3" ht="15.75" customHeight="1" x14ac:dyDescent="0.3">
      <c r="C258" s="2"/>
    </row>
    <row r="259" spans="3:3" ht="15.75" customHeight="1" x14ac:dyDescent="0.3">
      <c r="C259" s="2"/>
    </row>
    <row r="260" spans="3:3" ht="15.75" customHeight="1" x14ac:dyDescent="0.3">
      <c r="C260" s="2"/>
    </row>
    <row r="261" spans="3:3" ht="15.75" customHeight="1" x14ac:dyDescent="0.3">
      <c r="C261" s="2"/>
    </row>
    <row r="262" spans="3:3" ht="15.75" customHeight="1" x14ac:dyDescent="0.3">
      <c r="C262" s="2"/>
    </row>
    <row r="263" spans="3:3" ht="15.75" customHeight="1" x14ac:dyDescent="0.3">
      <c r="C263" s="2"/>
    </row>
    <row r="264" spans="3:3" ht="15.75" customHeight="1" x14ac:dyDescent="0.3">
      <c r="C264" s="2"/>
    </row>
    <row r="265" spans="3:3" ht="15.75" customHeight="1" x14ac:dyDescent="0.3">
      <c r="C265" s="2"/>
    </row>
    <row r="266" spans="3:3" ht="15.75" customHeight="1" x14ac:dyDescent="0.3">
      <c r="C266" s="2"/>
    </row>
    <row r="267" spans="3:3" ht="15.75" customHeight="1" x14ac:dyDescent="0.3">
      <c r="C267" s="2"/>
    </row>
    <row r="268" spans="3:3" ht="15.75" customHeight="1" x14ac:dyDescent="0.3">
      <c r="C268" s="2"/>
    </row>
    <row r="269" spans="3:3" ht="15.75" customHeight="1" x14ac:dyDescent="0.3">
      <c r="C269" s="2"/>
    </row>
    <row r="270" spans="3:3" ht="15.75" customHeight="1" x14ac:dyDescent="0.3">
      <c r="C270" s="2"/>
    </row>
    <row r="271" spans="3:3" ht="15.75" customHeight="1" x14ac:dyDescent="0.3">
      <c r="C271" s="2"/>
    </row>
    <row r="272" spans="3:3" ht="15.75" customHeight="1" x14ac:dyDescent="0.3">
      <c r="C272" s="2"/>
    </row>
    <row r="273" spans="3:3" ht="15.75" customHeight="1" x14ac:dyDescent="0.3">
      <c r="C273" s="2"/>
    </row>
    <row r="274" spans="3:3" ht="15.75" customHeight="1" x14ac:dyDescent="0.3">
      <c r="C274" s="2"/>
    </row>
    <row r="275" spans="3:3" ht="15.75" customHeight="1" x14ac:dyDescent="0.3">
      <c r="C275" s="2"/>
    </row>
    <row r="276" spans="3:3" ht="15.75" customHeight="1" x14ac:dyDescent="0.3">
      <c r="C276" s="2"/>
    </row>
    <row r="277" spans="3:3" ht="15.75" customHeight="1" x14ac:dyDescent="0.3">
      <c r="C277" s="2"/>
    </row>
    <row r="278" spans="3:3" ht="15.75" customHeight="1" x14ac:dyDescent="0.3">
      <c r="C278" s="2"/>
    </row>
    <row r="279" spans="3:3" ht="15.75" customHeight="1" x14ac:dyDescent="0.3">
      <c r="C279" s="2"/>
    </row>
    <row r="280" spans="3:3" ht="15.75" customHeight="1" x14ac:dyDescent="0.3">
      <c r="C280" s="2"/>
    </row>
    <row r="281" spans="3:3" ht="15.75" customHeight="1" x14ac:dyDescent="0.3">
      <c r="C281" s="2"/>
    </row>
    <row r="282" spans="3:3" ht="15.75" customHeight="1" x14ac:dyDescent="0.3">
      <c r="C282" s="2"/>
    </row>
    <row r="283" spans="3:3" ht="15.75" customHeight="1" x14ac:dyDescent="0.3">
      <c r="C283" s="2"/>
    </row>
    <row r="284" spans="3:3" ht="15.75" customHeight="1" x14ac:dyDescent="0.3">
      <c r="C284" s="2"/>
    </row>
    <row r="285" spans="3:3" ht="15.75" customHeight="1" x14ac:dyDescent="0.3">
      <c r="C285" s="2"/>
    </row>
    <row r="286" spans="3:3" ht="15.75" customHeight="1" x14ac:dyDescent="0.3">
      <c r="C286" s="2"/>
    </row>
    <row r="287" spans="3:3" ht="15.75" customHeight="1" x14ac:dyDescent="0.3">
      <c r="C287" s="2"/>
    </row>
    <row r="288" spans="3:3" ht="15.75" customHeight="1" x14ac:dyDescent="0.3">
      <c r="C288" s="2"/>
    </row>
    <row r="289" spans="3:3" ht="15.75" customHeight="1" x14ac:dyDescent="0.3">
      <c r="C289" s="2"/>
    </row>
    <row r="290" spans="3:3" ht="15.75" customHeight="1" x14ac:dyDescent="0.3">
      <c r="C290" s="2"/>
    </row>
    <row r="291" spans="3:3" ht="15.75" customHeight="1" x14ac:dyDescent="0.3">
      <c r="C291" s="2"/>
    </row>
    <row r="292" spans="3:3" ht="15.75" customHeight="1" x14ac:dyDescent="0.3">
      <c r="C292" s="2"/>
    </row>
    <row r="293" spans="3:3" ht="15.75" customHeight="1" x14ac:dyDescent="0.3">
      <c r="C293" s="2"/>
    </row>
    <row r="294" spans="3:3" ht="15.75" customHeight="1" x14ac:dyDescent="0.3">
      <c r="C294" s="2"/>
    </row>
    <row r="295" spans="3:3" ht="15.75" customHeight="1" x14ac:dyDescent="0.3">
      <c r="C295" s="2"/>
    </row>
    <row r="296" spans="3:3" ht="15.75" customHeight="1" x14ac:dyDescent="0.3">
      <c r="C296" s="2"/>
    </row>
    <row r="297" spans="3:3" ht="15.75" customHeight="1" x14ac:dyDescent="0.3">
      <c r="C297" s="2"/>
    </row>
    <row r="298" spans="3:3" ht="15.75" customHeight="1" x14ac:dyDescent="0.3">
      <c r="C298" s="2"/>
    </row>
    <row r="299" spans="3:3" ht="15.75" customHeight="1" x14ac:dyDescent="0.3">
      <c r="C299" s="2"/>
    </row>
    <row r="300" spans="3:3" ht="15.75" customHeight="1" x14ac:dyDescent="0.3">
      <c r="C300" s="2"/>
    </row>
    <row r="301" spans="3:3" ht="15.75" customHeight="1" x14ac:dyDescent="0.3">
      <c r="C301" s="2"/>
    </row>
    <row r="302" spans="3:3" ht="15.75" customHeight="1" x14ac:dyDescent="0.3">
      <c r="C302" s="2"/>
    </row>
    <row r="303" spans="3:3" ht="15.75" customHeight="1" x14ac:dyDescent="0.3">
      <c r="C303" s="2"/>
    </row>
    <row r="304" spans="3:3" ht="15.75" customHeight="1" x14ac:dyDescent="0.3">
      <c r="C304" s="2"/>
    </row>
    <row r="305" spans="3:3" ht="15.75" customHeight="1" x14ac:dyDescent="0.3">
      <c r="C305" s="2"/>
    </row>
    <row r="306" spans="3:3" ht="15.75" customHeight="1" x14ac:dyDescent="0.3">
      <c r="C306" s="2"/>
    </row>
    <row r="307" spans="3:3" ht="15.75" customHeight="1" x14ac:dyDescent="0.3">
      <c r="C307" s="2"/>
    </row>
    <row r="308" spans="3:3" ht="15.75" customHeight="1" x14ac:dyDescent="0.3">
      <c r="C308" s="2"/>
    </row>
    <row r="309" spans="3:3" ht="15.75" customHeight="1" x14ac:dyDescent="0.3">
      <c r="C309" s="2"/>
    </row>
    <row r="310" spans="3:3" ht="15.75" customHeight="1" x14ac:dyDescent="0.3">
      <c r="C310" s="2"/>
    </row>
    <row r="311" spans="3:3" ht="15.75" customHeight="1" x14ac:dyDescent="0.3">
      <c r="C311" s="2"/>
    </row>
    <row r="312" spans="3:3" ht="15.75" customHeight="1" x14ac:dyDescent="0.3">
      <c r="C312" s="2"/>
    </row>
    <row r="313" spans="3:3" ht="15.75" customHeight="1" x14ac:dyDescent="0.3">
      <c r="C313" s="2"/>
    </row>
    <row r="314" spans="3:3" ht="15.75" customHeight="1" x14ac:dyDescent="0.3">
      <c r="C314" s="2"/>
    </row>
    <row r="315" spans="3:3" ht="15.75" customHeight="1" x14ac:dyDescent="0.3">
      <c r="C315" s="2"/>
    </row>
    <row r="316" spans="3:3" ht="15.75" customHeight="1" x14ac:dyDescent="0.3">
      <c r="C316" s="2"/>
    </row>
    <row r="317" spans="3:3" ht="15.75" customHeight="1" x14ac:dyDescent="0.3">
      <c r="C317" s="2"/>
    </row>
    <row r="318" spans="3:3" ht="15.75" customHeight="1" x14ac:dyDescent="0.3">
      <c r="C318" s="2"/>
    </row>
    <row r="319" spans="3:3" ht="15.75" customHeight="1" x14ac:dyDescent="0.3">
      <c r="C319" s="2"/>
    </row>
    <row r="320" spans="3:3" ht="15.75" customHeight="1" x14ac:dyDescent="0.3">
      <c r="C320" s="2"/>
    </row>
    <row r="321" spans="3:3" ht="15.75" customHeight="1" x14ac:dyDescent="0.3">
      <c r="C321" s="2"/>
    </row>
    <row r="322" spans="3:3" ht="15.75" customHeight="1" x14ac:dyDescent="0.3">
      <c r="C322" s="2"/>
    </row>
    <row r="323" spans="3:3" ht="15.75" customHeight="1" x14ac:dyDescent="0.3">
      <c r="C323" s="2"/>
    </row>
    <row r="324" spans="3:3" ht="15.75" customHeight="1" x14ac:dyDescent="0.3">
      <c r="C324" s="2"/>
    </row>
    <row r="325" spans="3:3" ht="15.75" customHeight="1" x14ac:dyDescent="0.3">
      <c r="C325" s="2"/>
    </row>
    <row r="326" spans="3:3" ht="15.75" customHeight="1" x14ac:dyDescent="0.3">
      <c r="C326" s="2"/>
    </row>
    <row r="327" spans="3:3" ht="15.75" customHeight="1" x14ac:dyDescent="0.3">
      <c r="C327" s="2"/>
    </row>
    <row r="328" spans="3:3" ht="15.75" customHeight="1" x14ac:dyDescent="0.3">
      <c r="C328" s="2"/>
    </row>
    <row r="329" spans="3:3" ht="15.75" customHeight="1" x14ac:dyDescent="0.3">
      <c r="C329" s="2"/>
    </row>
    <row r="330" spans="3:3" ht="15.75" customHeight="1" x14ac:dyDescent="0.3">
      <c r="C330" s="2"/>
    </row>
    <row r="331" spans="3:3" ht="15.75" customHeight="1" x14ac:dyDescent="0.3">
      <c r="C331" s="2"/>
    </row>
    <row r="332" spans="3:3" ht="15.75" customHeight="1" x14ac:dyDescent="0.3">
      <c r="C332" s="2"/>
    </row>
    <row r="333" spans="3:3" ht="15.75" customHeight="1" x14ac:dyDescent="0.3">
      <c r="C333" s="2"/>
    </row>
    <row r="334" spans="3:3" ht="15.75" customHeight="1" x14ac:dyDescent="0.3">
      <c r="C334" s="2"/>
    </row>
    <row r="335" spans="3:3" ht="15.75" customHeight="1" x14ac:dyDescent="0.3">
      <c r="C335" s="2"/>
    </row>
    <row r="336" spans="3:3" ht="15.75" customHeight="1" x14ac:dyDescent="0.3">
      <c r="C336" s="2"/>
    </row>
    <row r="337" spans="3:3" ht="15.75" customHeight="1" x14ac:dyDescent="0.3">
      <c r="C337" s="2"/>
    </row>
    <row r="338" spans="3:3" ht="15.75" customHeight="1" x14ac:dyDescent="0.3">
      <c r="C338" s="2"/>
    </row>
    <row r="339" spans="3:3" ht="15.75" customHeight="1" x14ac:dyDescent="0.3">
      <c r="C339" s="2"/>
    </row>
    <row r="340" spans="3:3" ht="15.75" customHeight="1" x14ac:dyDescent="0.3">
      <c r="C340" s="2"/>
    </row>
    <row r="341" spans="3:3" ht="15.75" customHeight="1" x14ac:dyDescent="0.3">
      <c r="C341" s="2"/>
    </row>
    <row r="342" spans="3:3" ht="15.75" customHeight="1" x14ac:dyDescent="0.3">
      <c r="C342" s="2"/>
    </row>
    <row r="343" spans="3:3" ht="15.75" customHeight="1" x14ac:dyDescent="0.3">
      <c r="C343" s="2"/>
    </row>
    <row r="344" spans="3:3" ht="15.75" customHeight="1" x14ac:dyDescent="0.3">
      <c r="C344" s="2"/>
    </row>
    <row r="345" spans="3:3" ht="15.75" customHeight="1" x14ac:dyDescent="0.3">
      <c r="C345" s="2"/>
    </row>
    <row r="346" spans="3:3" ht="15.75" customHeight="1" x14ac:dyDescent="0.3">
      <c r="C346" s="2"/>
    </row>
    <row r="347" spans="3:3" ht="15.75" customHeight="1" x14ac:dyDescent="0.3">
      <c r="C347" s="2"/>
    </row>
    <row r="348" spans="3:3" ht="15.75" customHeight="1" x14ac:dyDescent="0.3">
      <c r="C348" s="2"/>
    </row>
    <row r="349" spans="3:3" ht="15.75" customHeight="1" x14ac:dyDescent="0.3">
      <c r="C349" s="2"/>
    </row>
    <row r="350" spans="3:3" ht="15.75" customHeight="1" x14ac:dyDescent="0.3">
      <c r="C350" s="2"/>
    </row>
    <row r="351" spans="3:3" ht="15.75" customHeight="1" x14ac:dyDescent="0.3">
      <c r="C351" s="2"/>
    </row>
    <row r="352" spans="3:3" ht="15.75" customHeight="1" x14ac:dyDescent="0.3">
      <c r="C352" s="2"/>
    </row>
    <row r="353" spans="3:3" ht="15.75" customHeight="1" x14ac:dyDescent="0.3">
      <c r="C353" s="2"/>
    </row>
    <row r="354" spans="3:3" ht="15.75" customHeight="1" x14ac:dyDescent="0.3">
      <c r="C354" s="2"/>
    </row>
    <row r="355" spans="3:3" ht="15.75" customHeight="1" x14ac:dyDescent="0.3">
      <c r="C355" s="2"/>
    </row>
    <row r="356" spans="3:3" ht="15.75" customHeight="1" x14ac:dyDescent="0.3">
      <c r="C356" s="2"/>
    </row>
    <row r="357" spans="3:3" ht="15.75" customHeight="1" x14ac:dyDescent="0.3">
      <c r="C357" s="2"/>
    </row>
    <row r="358" spans="3:3" ht="15.75" customHeight="1" x14ac:dyDescent="0.3">
      <c r="C358" s="2"/>
    </row>
    <row r="359" spans="3:3" ht="15.75" customHeight="1" x14ac:dyDescent="0.3">
      <c r="C359" s="2"/>
    </row>
    <row r="360" spans="3:3" ht="15.75" customHeight="1" x14ac:dyDescent="0.3">
      <c r="C360" s="2"/>
    </row>
    <row r="361" spans="3:3" ht="15.75" customHeight="1" x14ac:dyDescent="0.3">
      <c r="C361" s="2"/>
    </row>
    <row r="362" spans="3:3" ht="15.75" customHeight="1" x14ac:dyDescent="0.3">
      <c r="C362" s="2"/>
    </row>
    <row r="363" spans="3:3" ht="15.75" customHeight="1" x14ac:dyDescent="0.3">
      <c r="C363" s="2"/>
    </row>
    <row r="364" spans="3:3" ht="15.75" customHeight="1" x14ac:dyDescent="0.3">
      <c r="C364" s="2"/>
    </row>
    <row r="365" spans="3:3" ht="15.75" customHeight="1" x14ac:dyDescent="0.3">
      <c r="C365" s="2"/>
    </row>
    <row r="366" spans="3:3" ht="15.75" customHeight="1" x14ac:dyDescent="0.3">
      <c r="C366" s="2"/>
    </row>
    <row r="367" spans="3:3" ht="15.75" customHeight="1" x14ac:dyDescent="0.3">
      <c r="C367" s="2"/>
    </row>
    <row r="368" spans="3:3" ht="15.75" customHeight="1" x14ac:dyDescent="0.3">
      <c r="C368" s="2"/>
    </row>
    <row r="369" spans="3:3" ht="15.75" customHeight="1" x14ac:dyDescent="0.3">
      <c r="C369" s="2"/>
    </row>
    <row r="370" spans="3:3" ht="15.75" customHeight="1" x14ac:dyDescent="0.3">
      <c r="C370" s="2"/>
    </row>
    <row r="371" spans="3:3" ht="15.75" customHeight="1" x14ac:dyDescent="0.3">
      <c r="C371" s="2"/>
    </row>
    <row r="372" spans="3:3" ht="15.75" customHeight="1" x14ac:dyDescent="0.3">
      <c r="C372" s="2"/>
    </row>
    <row r="373" spans="3:3" ht="15.75" customHeight="1" x14ac:dyDescent="0.3">
      <c r="C373" s="2"/>
    </row>
    <row r="374" spans="3:3" ht="15.75" customHeight="1" x14ac:dyDescent="0.3">
      <c r="C374" s="2"/>
    </row>
    <row r="375" spans="3:3" ht="15.75" customHeight="1" x14ac:dyDescent="0.3">
      <c r="C375" s="2"/>
    </row>
    <row r="376" spans="3:3" ht="15.75" customHeight="1" x14ac:dyDescent="0.3">
      <c r="C376" s="2"/>
    </row>
    <row r="377" spans="3:3" ht="15.75" customHeight="1" x14ac:dyDescent="0.3">
      <c r="C377" s="2"/>
    </row>
    <row r="378" spans="3:3" ht="15.75" customHeight="1" x14ac:dyDescent="0.3">
      <c r="C378" s="2"/>
    </row>
    <row r="379" spans="3:3" ht="15.75" customHeight="1" x14ac:dyDescent="0.3">
      <c r="C379" s="2"/>
    </row>
    <row r="380" spans="3:3" ht="15.75" customHeight="1" x14ac:dyDescent="0.3">
      <c r="C380" s="2"/>
    </row>
    <row r="381" spans="3:3" ht="15.75" customHeight="1" x14ac:dyDescent="0.3">
      <c r="C381" s="2"/>
    </row>
    <row r="382" spans="3:3" ht="15.75" customHeight="1" x14ac:dyDescent="0.3">
      <c r="C382" s="2"/>
    </row>
    <row r="383" spans="3:3" ht="15.75" customHeight="1" x14ac:dyDescent="0.3">
      <c r="C383" s="2"/>
    </row>
    <row r="384" spans="3:3" ht="15.75" customHeight="1" x14ac:dyDescent="0.3">
      <c r="C384" s="2"/>
    </row>
    <row r="385" spans="3:3" ht="15.75" customHeight="1" x14ac:dyDescent="0.3">
      <c r="C385" s="2"/>
    </row>
    <row r="386" spans="3:3" ht="15.75" customHeight="1" x14ac:dyDescent="0.3">
      <c r="C386" s="2"/>
    </row>
    <row r="387" spans="3:3" ht="15.75" customHeight="1" x14ac:dyDescent="0.3">
      <c r="C387" s="2"/>
    </row>
    <row r="388" spans="3:3" ht="15.75" customHeight="1" x14ac:dyDescent="0.3">
      <c r="C388" s="2"/>
    </row>
    <row r="389" spans="3:3" ht="15.75" customHeight="1" x14ac:dyDescent="0.3">
      <c r="C389" s="2"/>
    </row>
    <row r="390" spans="3:3" ht="15.75" customHeight="1" x14ac:dyDescent="0.3">
      <c r="C390" s="2"/>
    </row>
    <row r="391" spans="3:3" ht="15.75" customHeight="1" x14ac:dyDescent="0.3">
      <c r="C391" s="2"/>
    </row>
    <row r="392" spans="3:3" ht="15.75" customHeight="1" x14ac:dyDescent="0.3">
      <c r="C392" s="2"/>
    </row>
    <row r="393" spans="3:3" ht="15.75" customHeight="1" x14ac:dyDescent="0.3">
      <c r="C393" s="2"/>
    </row>
    <row r="394" spans="3:3" ht="15.75" customHeight="1" x14ac:dyDescent="0.3">
      <c r="C394" s="2"/>
    </row>
    <row r="395" spans="3:3" ht="15.75" customHeight="1" x14ac:dyDescent="0.3">
      <c r="C395" s="2"/>
    </row>
    <row r="396" spans="3:3" ht="15.75" customHeight="1" x14ac:dyDescent="0.3">
      <c r="C396" s="2"/>
    </row>
    <row r="397" spans="3:3" ht="15.75" customHeight="1" x14ac:dyDescent="0.3">
      <c r="C397" s="2"/>
    </row>
    <row r="398" spans="3:3" ht="15.75" customHeight="1" x14ac:dyDescent="0.3">
      <c r="C398" s="2"/>
    </row>
    <row r="399" spans="3:3" ht="15.75" customHeight="1" x14ac:dyDescent="0.3">
      <c r="C399" s="2"/>
    </row>
    <row r="400" spans="3:3" ht="15.75" customHeight="1" x14ac:dyDescent="0.3">
      <c r="C400" s="2"/>
    </row>
    <row r="401" spans="3:3" ht="15.75" customHeight="1" x14ac:dyDescent="0.3">
      <c r="C401" s="2"/>
    </row>
    <row r="402" spans="3:3" ht="15.75" customHeight="1" x14ac:dyDescent="0.3">
      <c r="C402" s="2"/>
    </row>
    <row r="403" spans="3:3" ht="15.75" customHeight="1" x14ac:dyDescent="0.3">
      <c r="C403" s="2"/>
    </row>
    <row r="404" spans="3:3" ht="15.75" customHeight="1" x14ac:dyDescent="0.3">
      <c r="C404" s="2"/>
    </row>
    <row r="405" spans="3:3" ht="15.75" customHeight="1" x14ac:dyDescent="0.3">
      <c r="C405" s="2"/>
    </row>
    <row r="406" spans="3:3" ht="15.75" customHeight="1" x14ac:dyDescent="0.3">
      <c r="C406" s="2"/>
    </row>
    <row r="407" spans="3:3" ht="15.75" customHeight="1" x14ac:dyDescent="0.3">
      <c r="C407" s="2"/>
    </row>
    <row r="408" spans="3:3" ht="15.75" customHeight="1" x14ac:dyDescent="0.3">
      <c r="C408" s="2"/>
    </row>
    <row r="409" spans="3:3" ht="15.75" customHeight="1" x14ac:dyDescent="0.3">
      <c r="C409" s="2"/>
    </row>
    <row r="410" spans="3:3" ht="15.75" customHeight="1" x14ac:dyDescent="0.3">
      <c r="C410" s="2"/>
    </row>
    <row r="411" spans="3:3" ht="15.75" customHeight="1" x14ac:dyDescent="0.3">
      <c r="C411" s="2"/>
    </row>
    <row r="412" spans="3:3" ht="15.75" customHeight="1" x14ac:dyDescent="0.3">
      <c r="C412" s="2"/>
    </row>
    <row r="413" spans="3:3" ht="15.75" customHeight="1" x14ac:dyDescent="0.3">
      <c r="C413" s="2"/>
    </row>
    <row r="414" spans="3:3" ht="15.75" customHeight="1" x14ac:dyDescent="0.3">
      <c r="C414" s="2"/>
    </row>
    <row r="415" spans="3:3" ht="15.75" customHeight="1" x14ac:dyDescent="0.3">
      <c r="C415" s="2"/>
    </row>
    <row r="416" spans="3:3" ht="15.75" customHeight="1" x14ac:dyDescent="0.3">
      <c r="C416" s="2"/>
    </row>
    <row r="417" spans="3:3" ht="15.75" customHeight="1" x14ac:dyDescent="0.3">
      <c r="C417" s="2"/>
    </row>
    <row r="418" spans="3:3" ht="15.75" customHeight="1" x14ac:dyDescent="0.3">
      <c r="C418" s="2"/>
    </row>
    <row r="419" spans="3:3" ht="15.75" customHeight="1" x14ac:dyDescent="0.3">
      <c r="C419" s="2"/>
    </row>
    <row r="420" spans="3:3" ht="15.75" customHeight="1" x14ac:dyDescent="0.3">
      <c r="C420" s="2"/>
    </row>
    <row r="421" spans="3:3" ht="15.75" customHeight="1" x14ac:dyDescent="0.3">
      <c r="C421" s="2"/>
    </row>
    <row r="422" spans="3:3" ht="15.75" customHeight="1" x14ac:dyDescent="0.3">
      <c r="C422" s="2"/>
    </row>
    <row r="423" spans="3:3" ht="15.75" customHeight="1" x14ac:dyDescent="0.3">
      <c r="C423" s="2"/>
    </row>
    <row r="424" spans="3:3" ht="15.75" customHeight="1" x14ac:dyDescent="0.3">
      <c r="C424" s="2"/>
    </row>
    <row r="425" spans="3:3" ht="15.75" customHeight="1" x14ac:dyDescent="0.3">
      <c r="C425" s="2"/>
    </row>
    <row r="426" spans="3:3" ht="15.75" customHeight="1" x14ac:dyDescent="0.3">
      <c r="C426" s="2"/>
    </row>
    <row r="427" spans="3:3" ht="15.75" customHeight="1" x14ac:dyDescent="0.3">
      <c r="C427" s="2"/>
    </row>
    <row r="428" spans="3:3" ht="15.75" customHeight="1" x14ac:dyDescent="0.3">
      <c r="C428" s="2"/>
    </row>
    <row r="429" spans="3:3" ht="15.75" customHeight="1" x14ac:dyDescent="0.3">
      <c r="C429" s="2"/>
    </row>
    <row r="430" spans="3:3" ht="15.75" customHeight="1" x14ac:dyDescent="0.3">
      <c r="C430" s="2"/>
    </row>
    <row r="431" spans="3:3" ht="15.75" customHeight="1" x14ac:dyDescent="0.3">
      <c r="C431" s="2"/>
    </row>
    <row r="432" spans="3:3" ht="15.75" customHeight="1" x14ac:dyDescent="0.3">
      <c r="C432" s="2"/>
    </row>
    <row r="433" spans="3:3" ht="15.75" customHeight="1" x14ac:dyDescent="0.3">
      <c r="C433" s="2"/>
    </row>
    <row r="434" spans="3:3" ht="15.75" customHeight="1" x14ac:dyDescent="0.3">
      <c r="C434" s="2"/>
    </row>
    <row r="435" spans="3:3" ht="15.75" customHeight="1" x14ac:dyDescent="0.3">
      <c r="C435" s="2"/>
    </row>
    <row r="436" spans="3:3" ht="15.75" customHeight="1" x14ac:dyDescent="0.3">
      <c r="C436" s="2"/>
    </row>
    <row r="437" spans="3:3" ht="15.75" customHeight="1" x14ac:dyDescent="0.3">
      <c r="C437" s="2"/>
    </row>
    <row r="438" spans="3:3" ht="15.75" customHeight="1" x14ac:dyDescent="0.3">
      <c r="C438" s="2"/>
    </row>
    <row r="439" spans="3:3" ht="15.75" customHeight="1" x14ac:dyDescent="0.3">
      <c r="C439" s="2"/>
    </row>
    <row r="440" spans="3:3" ht="15.75" customHeight="1" x14ac:dyDescent="0.3">
      <c r="C440" s="2"/>
    </row>
    <row r="441" spans="3:3" ht="15.75" customHeight="1" x14ac:dyDescent="0.3">
      <c r="C441" s="2"/>
    </row>
    <row r="442" spans="3:3" ht="15.75" customHeight="1" x14ac:dyDescent="0.3">
      <c r="C442" s="2"/>
    </row>
    <row r="443" spans="3:3" ht="15.75" customHeight="1" x14ac:dyDescent="0.3">
      <c r="C443" s="2"/>
    </row>
    <row r="444" spans="3:3" ht="15.75" customHeight="1" x14ac:dyDescent="0.3">
      <c r="C444" s="2"/>
    </row>
    <row r="445" spans="3:3" ht="15.75" customHeight="1" x14ac:dyDescent="0.3">
      <c r="C445" s="2"/>
    </row>
    <row r="446" spans="3:3" ht="15.75" customHeight="1" x14ac:dyDescent="0.3">
      <c r="C446" s="2"/>
    </row>
    <row r="447" spans="3:3" ht="15.75" customHeight="1" x14ac:dyDescent="0.3">
      <c r="C447" s="2"/>
    </row>
    <row r="448" spans="3:3" ht="15.75" customHeight="1" x14ac:dyDescent="0.3">
      <c r="C448" s="2"/>
    </row>
    <row r="449" spans="3:3" ht="15.75" customHeight="1" x14ac:dyDescent="0.3">
      <c r="C449" s="2"/>
    </row>
    <row r="450" spans="3:3" ht="15.75" customHeight="1" x14ac:dyDescent="0.3">
      <c r="C450" s="2"/>
    </row>
    <row r="451" spans="3:3" ht="15.75" customHeight="1" x14ac:dyDescent="0.3">
      <c r="C451" s="2"/>
    </row>
    <row r="452" spans="3:3" ht="15.75" customHeight="1" x14ac:dyDescent="0.3">
      <c r="C452" s="2"/>
    </row>
    <row r="453" spans="3:3" ht="15.75" customHeight="1" x14ac:dyDescent="0.3">
      <c r="C453" s="2"/>
    </row>
    <row r="454" spans="3:3" ht="15.75" customHeight="1" x14ac:dyDescent="0.3">
      <c r="C454" s="2"/>
    </row>
    <row r="455" spans="3:3" ht="15.75" customHeight="1" x14ac:dyDescent="0.3">
      <c r="C455" s="2"/>
    </row>
    <row r="456" spans="3:3" ht="15.75" customHeight="1" x14ac:dyDescent="0.3">
      <c r="C456" s="2"/>
    </row>
    <row r="457" spans="3:3" ht="15.75" customHeight="1" x14ac:dyDescent="0.3">
      <c r="C457" s="2"/>
    </row>
    <row r="458" spans="3:3" ht="15.75" customHeight="1" x14ac:dyDescent="0.3">
      <c r="C458" s="2"/>
    </row>
    <row r="459" spans="3:3" ht="15.75" customHeight="1" x14ac:dyDescent="0.3">
      <c r="C459" s="2"/>
    </row>
    <row r="460" spans="3:3" ht="15.75" customHeight="1" x14ac:dyDescent="0.3">
      <c r="C460" s="2"/>
    </row>
    <row r="461" spans="3:3" ht="15.75" customHeight="1" x14ac:dyDescent="0.3">
      <c r="C461" s="2"/>
    </row>
    <row r="462" spans="3:3" ht="15.75" customHeight="1" x14ac:dyDescent="0.3">
      <c r="C462" s="2"/>
    </row>
    <row r="463" spans="3:3" ht="15.75" customHeight="1" x14ac:dyDescent="0.3">
      <c r="C463" s="2"/>
    </row>
    <row r="464" spans="3:3" ht="15.75" customHeight="1" x14ac:dyDescent="0.3">
      <c r="C464" s="2"/>
    </row>
    <row r="465" spans="3:3" ht="15.75" customHeight="1" x14ac:dyDescent="0.3">
      <c r="C465" s="2"/>
    </row>
    <row r="466" spans="3:3" ht="15.75" customHeight="1" x14ac:dyDescent="0.3">
      <c r="C466" s="2"/>
    </row>
    <row r="467" spans="3:3" ht="15.75" customHeight="1" x14ac:dyDescent="0.3">
      <c r="C467" s="2"/>
    </row>
    <row r="468" spans="3:3" ht="15.75" customHeight="1" x14ac:dyDescent="0.3">
      <c r="C468" s="2"/>
    </row>
    <row r="469" spans="3:3" ht="15.75" customHeight="1" x14ac:dyDescent="0.3">
      <c r="C469" s="2"/>
    </row>
    <row r="470" spans="3:3" ht="15.75" customHeight="1" x14ac:dyDescent="0.3">
      <c r="C470" s="2"/>
    </row>
    <row r="471" spans="3:3" ht="15.75" customHeight="1" x14ac:dyDescent="0.3">
      <c r="C471" s="2"/>
    </row>
    <row r="472" spans="3:3" ht="15.75" customHeight="1" x14ac:dyDescent="0.3">
      <c r="C472" s="2"/>
    </row>
    <row r="473" spans="3:3" ht="15.75" customHeight="1" x14ac:dyDescent="0.3">
      <c r="C473" s="2"/>
    </row>
    <row r="474" spans="3:3" ht="15.75" customHeight="1" x14ac:dyDescent="0.3">
      <c r="C474" s="2"/>
    </row>
    <row r="475" spans="3:3" ht="15.75" customHeight="1" x14ac:dyDescent="0.3">
      <c r="C475" s="2"/>
    </row>
    <row r="476" spans="3:3" ht="15.75" customHeight="1" x14ac:dyDescent="0.3">
      <c r="C476" s="2"/>
    </row>
    <row r="477" spans="3:3" ht="15.75" customHeight="1" x14ac:dyDescent="0.3">
      <c r="C477" s="2"/>
    </row>
    <row r="478" spans="3:3" ht="15.75" customHeight="1" x14ac:dyDescent="0.3">
      <c r="C478" s="2"/>
    </row>
    <row r="479" spans="3:3" ht="15.75" customHeight="1" x14ac:dyDescent="0.3">
      <c r="C479" s="2"/>
    </row>
    <row r="480" spans="3:3" ht="15.75" customHeight="1" x14ac:dyDescent="0.3">
      <c r="C480" s="2"/>
    </row>
    <row r="481" spans="3:3" ht="15.75" customHeight="1" x14ac:dyDescent="0.3">
      <c r="C481" s="2"/>
    </row>
    <row r="482" spans="3:3" ht="15.75" customHeight="1" x14ac:dyDescent="0.3">
      <c r="C482" s="2"/>
    </row>
    <row r="483" spans="3:3" ht="15.75" customHeight="1" x14ac:dyDescent="0.3">
      <c r="C483" s="2"/>
    </row>
    <row r="484" spans="3:3" ht="15.75" customHeight="1" x14ac:dyDescent="0.3">
      <c r="C484" s="2"/>
    </row>
    <row r="485" spans="3:3" ht="15.75" customHeight="1" x14ac:dyDescent="0.3">
      <c r="C485" s="2"/>
    </row>
    <row r="486" spans="3:3" ht="15.75" customHeight="1" x14ac:dyDescent="0.3">
      <c r="C486" s="2"/>
    </row>
    <row r="487" spans="3:3" ht="15.75" customHeight="1" x14ac:dyDescent="0.3">
      <c r="C487" s="2"/>
    </row>
    <row r="488" spans="3:3" ht="15.75" customHeight="1" x14ac:dyDescent="0.3">
      <c r="C488" s="2"/>
    </row>
    <row r="489" spans="3:3" ht="15.75" customHeight="1" x14ac:dyDescent="0.3">
      <c r="C489" s="2"/>
    </row>
    <row r="490" spans="3:3" ht="15.75" customHeight="1" x14ac:dyDescent="0.3">
      <c r="C490" s="2"/>
    </row>
    <row r="491" spans="3:3" ht="15.75" customHeight="1" x14ac:dyDescent="0.3">
      <c r="C491" s="2"/>
    </row>
    <row r="492" spans="3:3" ht="15.75" customHeight="1" x14ac:dyDescent="0.3">
      <c r="C492" s="2"/>
    </row>
    <row r="493" spans="3:3" ht="15.75" customHeight="1" x14ac:dyDescent="0.3">
      <c r="C493" s="2"/>
    </row>
    <row r="494" spans="3:3" ht="15.75" customHeight="1" x14ac:dyDescent="0.3">
      <c r="C494" s="2"/>
    </row>
    <row r="495" spans="3:3" ht="15.75" customHeight="1" x14ac:dyDescent="0.3">
      <c r="C495" s="2"/>
    </row>
    <row r="496" spans="3:3" ht="15.75" customHeight="1" x14ac:dyDescent="0.3">
      <c r="C496" s="2"/>
    </row>
    <row r="497" spans="3:3" ht="15.75" customHeight="1" x14ac:dyDescent="0.3">
      <c r="C497" s="2"/>
    </row>
    <row r="498" spans="3:3" ht="15.75" customHeight="1" x14ac:dyDescent="0.3">
      <c r="C498" s="2"/>
    </row>
    <row r="499" spans="3:3" ht="15.75" customHeight="1" x14ac:dyDescent="0.3">
      <c r="C499" s="2"/>
    </row>
    <row r="500" spans="3:3" ht="15.75" customHeight="1" x14ac:dyDescent="0.3">
      <c r="C500" s="2"/>
    </row>
    <row r="501" spans="3:3" ht="15.75" customHeight="1" x14ac:dyDescent="0.3">
      <c r="C501" s="2"/>
    </row>
    <row r="502" spans="3:3" ht="15.75" customHeight="1" x14ac:dyDescent="0.3">
      <c r="C502" s="2"/>
    </row>
    <row r="503" spans="3:3" ht="15.75" customHeight="1" x14ac:dyDescent="0.3">
      <c r="C503" s="2"/>
    </row>
    <row r="504" spans="3:3" ht="15.75" customHeight="1" x14ac:dyDescent="0.3">
      <c r="C504" s="2"/>
    </row>
    <row r="505" spans="3:3" ht="15.75" customHeight="1" x14ac:dyDescent="0.3">
      <c r="C505" s="2"/>
    </row>
    <row r="506" spans="3:3" ht="15.75" customHeight="1" x14ac:dyDescent="0.3">
      <c r="C506" s="2"/>
    </row>
    <row r="507" spans="3:3" ht="15.75" customHeight="1" x14ac:dyDescent="0.3">
      <c r="C507" s="2"/>
    </row>
    <row r="508" spans="3:3" ht="15.75" customHeight="1" x14ac:dyDescent="0.3">
      <c r="C508" s="2"/>
    </row>
    <row r="509" spans="3:3" ht="15.75" customHeight="1" x14ac:dyDescent="0.3">
      <c r="C509" s="2"/>
    </row>
    <row r="510" spans="3:3" ht="15.75" customHeight="1" x14ac:dyDescent="0.3">
      <c r="C510" s="2"/>
    </row>
    <row r="511" spans="3:3" ht="15.75" customHeight="1" x14ac:dyDescent="0.3">
      <c r="C511" s="2"/>
    </row>
    <row r="512" spans="3:3" ht="15.75" customHeight="1" x14ac:dyDescent="0.3">
      <c r="C512" s="2"/>
    </row>
    <row r="513" spans="3:3" ht="15.75" customHeight="1" x14ac:dyDescent="0.3">
      <c r="C513" s="2"/>
    </row>
    <row r="514" spans="3:3" ht="15.75" customHeight="1" x14ac:dyDescent="0.3">
      <c r="C514" s="2"/>
    </row>
    <row r="515" spans="3:3" ht="15.75" customHeight="1" x14ac:dyDescent="0.3">
      <c r="C515" s="2"/>
    </row>
    <row r="516" spans="3:3" ht="15.75" customHeight="1" x14ac:dyDescent="0.3">
      <c r="C516" s="2"/>
    </row>
    <row r="517" spans="3:3" ht="15.75" customHeight="1" x14ac:dyDescent="0.3">
      <c r="C517" s="2"/>
    </row>
    <row r="518" spans="3:3" ht="15.75" customHeight="1" x14ac:dyDescent="0.3">
      <c r="C518" s="2"/>
    </row>
    <row r="519" spans="3:3" ht="15.75" customHeight="1" x14ac:dyDescent="0.3">
      <c r="C519" s="2"/>
    </row>
    <row r="520" spans="3:3" ht="15.75" customHeight="1" x14ac:dyDescent="0.3">
      <c r="C520" s="2"/>
    </row>
    <row r="521" spans="3:3" ht="15.75" customHeight="1" x14ac:dyDescent="0.3">
      <c r="C521" s="2"/>
    </row>
    <row r="522" spans="3:3" ht="15.75" customHeight="1" x14ac:dyDescent="0.3">
      <c r="C522" s="2"/>
    </row>
    <row r="523" spans="3:3" ht="15.75" customHeight="1" x14ac:dyDescent="0.3">
      <c r="C523" s="2"/>
    </row>
    <row r="524" spans="3:3" ht="15.75" customHeight="1" x14ac:dyDescent="0.3">
      <c r="C524" s="2"/>
    </row>
    <row r="525" spans="3:3" ht="15.75" customHeight="1" x14ac:dyDescent="0.3">
      <c r="C525" s="2"/>
    </row>
    <row r="526" spans="3:3" ht="15.75" customHeight="1" x14ac:dyDescent="0.3">
      <c r="C526" s="2"/>
    </row>
    <row r="527" spans="3:3" ht="15.75" customHeight="1" x14ac:dyDescent="0.3">
      <c r="C527" s="2"/>
    </row>
    <row r="528" spans="3:3" ht="15.75" customHeight="1" x14ac:dyDescent="0.3">
      <c r="C528" s="2"/>
    </row>
    <row r="529" spans="3:3" ht="15.75" customHeight="1" x14ac:dyDescent="0.3">
      <c r="C529" s="2"/>
    </row>
    <row r="530" spans="3:3" ht="15.75" customHeight="1" x14ac:dyDescent="0.3">
      <c r="C530" s="2"/>
    </row>
    <row r="531" spans="3:3" ht="15.75" customHeight="1" x14ac:dyDescent="0.3">
      <c r="C531" s="2"/>
    </row>
    <row r="532" spans="3:3" ht="15.75" customHeight="1" x14ac:dyDescent="0.3">
      <c r="C532" s="2"/>
    </row>
    <row r="533" spans="3:3" ht="15.75" customHeight="1" x14ac:dyDescent="0.3">
      <c r="C533" s="2"/>
    </row>
    <row r="534" spans="3:3" ht="15.75" customHeight="1" x14ac:dyDescent="0.3">
      <c r="C534" s="2"/>
    </row>
    <row r="535" spans="3:3" ht="15.75" customHeight="1" x14ac:dyDescent="0.3">
      <c r="C535" s="2"/>
    </row>
    <row r="536" spans="3:3" ht="15.75" customHeight="1" x14ac:dyDescent="0.3">
      <c r="C536" s="2"/>
    </row>
    <row r="537" spans="3:3" ht="15.75" customHeight="1" x14ac:dyDescent="0.3">
      <c r="C537" s="2"/>
    </row>
    <row r="538" spans="3:3" ht="15.75" customHeight="1" x14ac:dyDescent="0.3">
      <c r="C538" s="2"/>
    </row>
    <row r="539" spans="3:3" ht="15.75" customHeight="1" x14ac:dyDescent="0.3">
      <c r="C539" s="2"/>
    </row>
    <row r="540" spans="3:3" ht="15.75" customHeight="1" x14ac:dyDescent="0.3">
      <c r="C540" s="2"/>
    </row>
    <row r="541" spans="3:3" ht="15.75" customHeight="1" x14ac:dyDescent="0.3">
      <c r="C541" s="2"/>
    </row>
    <row r="542" spans="3:3" ht="15.75" customHeight="1" x14ac:dyDescent="0.3">
      <c r="C542" s="2"/>
    </row>
    <row r="543" spans="3:3" ht="15.75" customHeight="1" x14ac:dyDescent="0.3">
      <c r="C543" s="2"/>
    </row>
    <row r="544" spans="3:3" ht="15.75" customHeight="1" x14ac:dyDescent="0.3">
      <c r="C544" s="2"/>
    </row>
    <row r="545" spans="3:3" ht="15.75" customHeight="1" x14ac:dyDescent="0.3">
      <c r="C545" s="2"/>
    </row>
    <row r="546" spans="3:3" ht="15.75" customHeight="1" x14ac:dyDescent="0.3">
      <c r="C546" s="2"/>
    </row>
    <row r="547" spans="3:3" ht="15.75" customHeight="1" x14ac:dyDescent="0.3">
      <c r="C547" s="2"/>
    </row>
    <row r="548" spans="3:3" ht="15.75" customHeight="1" x14ac:dyDescent="0.3">
      <c r="C548" s="2"/>
    </row>
    <row r="549" spans="3:3" ht="15.75" customHeight="1" x14ac:dyDescent="0.3">
      <c r="C549" s="2"/>
    </row>
    <row r="550" spans="3:3" ht="15.75" customHeight="1" x14ac:dyDescent="0.3">
      <c r="C550" s="2"/>
    </row>
    <row r="551" spans="3:3" ht="15.75" customHeight="1" x14ac:dyDescent="0.3">
      <c r="C551" s="2"/>
    </row>
    <row r="552" spans="3:3" ht="15.75" customHeight="1" x14ac:dyDescent="0.3">
      <c r="C552" s="2"/>
    </row>
    <row r="553" spans="3:3" ht="15.75" customHeight="1" x14ac:dyDescent="0.3">
      <c r="C553" s="2"/>
    </row>
    <row r="554" spans="3:3" ht="15.75" customHeight="1" x14ac:dyDescent="0.3">
      <c r="C554" s="2"/>
    </row>
    <row r="555" spans="3:3" ht="15.75" customHeight="1" x14ac:dyDescent="0.3">
      <c r="C555" s="2"/>
    </row>
    <row r="556" spans="3:3" ht="15.75" customHeight="1" x14ac:dyDescent="0.3">
      <c r="C556" s="2"/>
    </row>
    <row r="557" spans="3:3" ht="15.75" customHeight="1" x14ac:dyDescent="0.3">
      <c r="C557" s="2"/>
    </row>
    <row r="558" spans="3:3" ht="15.75" customHeight="1" x14ac:dyDescent="0.3">
      <c r="C558" s="2"/>
    </row>
    <row r="559" spans="3:3" ht="15.75" customHeight="1" x14ac:dyDescent="0.3">
      <c r="C559" s="2"/>
    </row>
    <row r="560" spans="3:3" ht="15.75" customHeight="1" x14ac:dyDescent="0.3">
      <c r="C560" s="2"/>
    </row>
    <row r="561" spans="3:3" ht="15.75" customHeight="1" x14ac:dyDescent="0.3">
      <c r="C561" s="2"/>
    </row>
    <row r="562" spans="3:3" ht="15.75" customHeight="1" x14ac:dyDescent="0.3">
      <c r="C562" s="2"/>
    </row>
    <row r="563" spans="3:3" ht="15.75" customHeight="1" x14ac:dyDescent="0.3">
      <c r="C563" s="2"/>
    </row>
    <row r="564" spans="3:3" ht="15.75" customHeight="1" x14ac:dyDescent="0.3">
      <c r="C564" s="2"/>
    </row>
    <row r="565" spans="3:3" ht="15.75" customHeight="1" x14ac:dyDescent="0.3">
      <c r="C565" s="2"/>
    </row>
    <row r="566" spans="3:3" ht="15.75" customHeight="1" x14ac:dyDescent="0.3">
      <c r="C566" s="2"/>
    </row>
    <row r="567" spans="3:3" ht="15.75" customHeight="1" x14ac:dyDescent="0.3">
      <c r="C567" s="2"/>
    </row>
    <row r="568" spans="3:3" ht="15.75" customHeight="1" x14ac:dyDescent="0.3">
      <c r="C568" s="2"/>
    </row>
    <row r="569" spans="3:3" ht="15.75" customHeight="1" x14ac:dyDescent="0.3">
      <c r="C569" s="2"/>
    </row>
    <row r="570" spans="3:3" ht="15.75" customHeight="1" x14ac:dyDescent="0.3">
      <c r="C570" s="2"/>
    </row>
    <row r="571" spans="3:3" ht="15.75" customHeight="1" x14ac:dyDescent="0.3">
      <c r="C571" s="2"/>
    </row>
    <row r="572" spans="3:3" ht="15.75" customHeight="1" x14ac:dyDescent="0.3">
      <c r="C572" s="2"/>
    </row>
    <row r="573" spans="3:3" ht="15.75" customHeight="1" x14ac:dyDescent="0.3">
      <c r="C573" s="2"/>
    </row>
    <row r="574" spans="3:3" ht="15.75" customHeight="1" x14ac:dyDescent="0.3">
      <c r="C574" s="2"/>
    </row>
    <row r="575" spans="3:3" ht="15.75" customHeight="1" x14ac:dyDescent="0.3">
      <c r="C575" s="2"/>
    </row>
    <row r="576" spans="3:3" ht="15.75" customHeight="1" x14ac:dyDescent="0.3">
      <c r="C576" s="2"/>
    </row>
    <row r="577" spans="3:3" ht="15.75" customHeight="1" x14ac:dyDescent="0.3">
      <c r="C577" s="2"/>
    </row>
    <row r="578" spans="3:3" ht="15.75" customHeight="1" x14ac:dyDescent="0.3">
      <c r="C578" s="2"/>
    </row>
    <row r="579" spans="3:3" ht="15.75" customHeight="1" x14ac:dyDescent="0.3">
      <c r="C579" s="2"/>
    </row>
    <row r="580" spans="3:3" ht="15.75" customHeight="1" x14ac:dyDescent="0.3">
      <c r="C580" s="2"/>
    </row>
    <row r="581" spans="3:3" ht="15.75" customHeight="1" x14ac:dyDescent="0.3">
      <c r="C581" s="2"/>
    </row>
    <row r="582" spans="3:3" ht="15.75" customHeight="1" x14ac:dyDescent="0.3">
      <c r="C582" s="2"/>
    </row>
    <row r="583" spans="3:3" ht="15.75" customHeight="1" x14ac:dyDescent="0.3">
      <c r="C583" s="2"/>
    </row>
    <row r="584" spans="3:3" ht="15.75" customHeight="1" x14ac:dyDescent="0.3">
      <c r="C584" s="2"/>
    </row>
    <row r="585" spans="3:3" ht="15.75" customHeight="1" x14ac:dyDescent="0.3">
      <c r="C585" s="2"/>
    </row>
    <row r="586" spans="3:3" ht="15.75" customHeight="1" x14ac:dyDescent="0.3">
      <c r="C586" s="2"/>
    </row>
    <row r="587" spans="3:3" ht="15.75" customHeight="1" x14ac:dyDescent="0.3">
      <c r="C587" s="2"/>
    </row>
    <row r="588" spans="3:3" ht="15.75" customHeight="1" x14ac:dyDescent="0.3">
      <c r="C588" s="2"/>
    </row>
    <row r="589" spans="3:3" ht="15.75" customHeight="1" x14ac:dyDescent="0.3">
      <c r="C589" s="2"/>
    </row>
    <row r="590" spans="3:3" ht="15.75" customHeight="1" x14ac:dyDescent="0.3">
      <c r="C590" s="2"/>
    </row>
    <row r="591" spans="3:3" ht="15.75" customHeight="1" x14ac:dyDescent="0.3">
      <c r="C591" s="2"/>
    </row>
    <row r="592" spans="3:3" ht="15.75" customHeight="1" x14ac:dyDescent="0.3">
      <c r="C592" s="2"/>
    </row>
    <row r="593" spans="3:3" ht="15.75" customHeight="1" x14ac:dyDescent="0.3">
      <c r="C593" s="2"/>
    </row>
    <row r="594" spans="3:3" ht="15.75" customHeight="1" x14ac:dyDescent="0.3">
      <c r="C594" s="2"/>
    </row>
    <row r="595" spans="3:3" ht="15.75" customHeight="1" x14ac:dyDescent="0.3">
      <c r="C595" s="2"/>
    </row>
    <row r="596" spans="3:3" ht="15.75" customHeight="1" x14ac:dyDescent="0.3">
      <c r="C596" s="2"/>
    </row>
    <row r="597" spans="3:3" ht="15.75" customHeight="1" x14ac:dyDescent="0.3">
      <c r="C597" s="2"/>
    </row>
    <row r="598" spans="3:3" ht="15.75" customHeight="1" x14ac:dyDescent="0.3">
      <c r="C598" s="2"/>
    </row>
    <row r="599" spans="3:3" ht="15.75" customHeight="1" x14ac:dyDescent="0.3">
      <c r="C599" s="2"/>
    </row>
    <row r="600" spans="3:3" ht="15.75" customHeight="1" x14ac:dyDescent="0.3">
      <c r="C600" s="2"/>
    </row>
    <row r="601" spans="3:3" ht="15.75" customHeight="1" x14ac:dyDescent="0.3">
      <c r="C601" s="2"/>
    </row>
    <row r="602" spans="3:3" ht="15.75" customHeight="1" x14ac:dyDescent="0.3">
      <c r="C602" s="2"/>
    </row>
    <row r="603" spans="3:3" ht="15.75" customHeight="1" x14ac:dyDescent="0.3">
      <c r="C603" s="2"/>
    </row>
    <row r="604" spans="3:3" ht="15.75" customHeight="1" x14ac:dyDescent="0.3">
      <c r="C604" s="2"/>
    </row>
    <row r="605" spans="3:3" ht="15.75" customHeight="1" x14ac:dyDescent="0.3">
      <c r="C605" s="2"/>
    </row>
    <row r="606" spans="3:3" ht="15.75" customHeight="1" x14ac:dyDescent="0.3">
      <c r="C606" s="2"/>
    </row>
    <row r="607" spans="3:3" ht="15.75" customHeight="1" x14ac:dyDescent="0.3">
      <c r="C607" s="2"/>
    </row>
    <row r="608" spans="3:3" ht="15.75" customHeight="1" x14ac:dyDescent="0.3">
      <c r="C608" s="2"/>
    </row>
    <row r="609" spans="3:3" ht="15.75" customHeight="1" x14ac:dyDescent="0.3">
      <c r="C609" s="2"/>
    </row>
    <row r="610" spans="3:3" ht="15.75" customHeight="1" x14ac:dyDescent="0.3">
      <c r="C610" s="2"/>
    </row>
    <row r="611" spans="3:3" ht="15.75" customHeight="1" x14ac:dyDescent="0.3">
      <c r="C611" s="2"/>
    </row>
    <row r="612" spans="3:3" ht="15.75" customHeight="1" x14ac:dyDescent="0.3">
      <c r="C612" s="2"/>
    </row>
    <row r="613" spans="3:3" ht="15.75" customHeight="1" x14ac:dyDescent="0.3">
      <c r="C613" s="2"/>
    </row>
    <row r="614" spans="3:3" ht="15.75" customHeight="1" x14ac:dyDescent="0.3">
      <c r="C614" s="2"/>
    </row>
    <row r="615" spans="3:3" ht="15.75" customHeight="1" x14ac:dyDescent="0.3">
      <c r="C615" s="2"/>
    </row>
    <row r="616" spans="3:3" ht="15.75" customHeight="1" x14ac:dyDescent="0.3">
      <c r="C616" s="2"/>
    </row>
    <row r="617" spans="3:3" ht="15.75" customHeight="1" x14ac:dyDescent="0.3">
      <c r="C617" s="2"/>
    </row>
    <row r="618" spans="3:3" ht="15.75" customHeight="1" x14ac:dyDescent="0.3">
      <c r="C618" s="2"/>
    </row>
    <row r="619" spans="3:3" ht="15.75" customHeight="1" x14ac:dyDescent="0.3">
      <c r="C619" s="2"/>
    </row>
    <row r="620" spans="3:3" ht="15.75" customHeight="1" x14ac:dyDescent="0.3">
      <c r="C620" s="2"/>
    </row>
    <row r="621" spans="3:3" ht="15.75" customHeight="1" x14ac:dyDescent="0.3">
      <c r="C621" s="2"/>
    </row>
    <row r="622" spans="3:3" ht="15.75" customHeight="1" x14ac:dyDescent="0.3">
      <c r="C622" s="2"/>
    </row>
    <row r="623" spans="3:3" ht="15.75" customHeight="1" x14ac:dyDescent="0.3">
      <c r="C623" s="2"/>
    </row>
    <row r="624" spans="3:3" ht="15.75" customHeight="1" x14ac:dyDescent="0.3">
      <c r="C624" s="2"/>
    </row>
    <row r="625" spans="3:3" ht="15.75" customHeight="1" x14ac:dyDescent="0.3">
      <c r="C625" s="2"/>
    </row>
    <row r="626" spans="3:3" ht="15.75" customHeight="1" x14ac:dyDescent="0.3">
      <c r="C626" s="2"/>
    </row>
    <row r="627" spans="3:3" ht="15.75" customHeight="1" x14ac:dyDescent="0.3">
      <c r="C627" s="2"/>
    </row>
    <row r="628" spans="3:3" ht="15.75" customHeight="1" x14ac:dyDescent="0.3">
      <c r="C628" s="2"/>
    </row>
    <row r="629" spans="3:3" ht="15.75" customHeight="1" x14ac:dyDescent="0.3">
      <c r="C629" s="2"/>
    </row>
    <row r="630" spans="3:3" ht="15.75" customHeight="1" x14ac:dyDescent="0.3">
      <c r="C630" s="2"/>
    </row>
    <row r="631" spans="3:3" ht="15.75" customHeight="1" x14ac:dyDescent="0.3">
      <c r="C631" s="2"/>
    </row>
    <row r="632" spans="3:3" ht="15.75" customHeight="1" x14ac:dyDescent="0.3">
      <c r="C632" s="2"/>
    </row>
    <row r="633" spans="3:3" ht="15.75" customHeight="1" x14ac:dyDescent="0.3">
      <c r="C633" s="2"/>
    </row>
    <row r="634" spans="3:3" ht="15.75" customHeight="1" x14ac:dyDescent="0.3">
      <c r="C634" s="2"/>
    </row>
    <row r="635" spans="3:3" ht="15.75" customHeight="1" x14ac:dyDescent="0.3">
      <c r="C635" s="2"/>
    </row>
    <row r="636" spans="3:3" ht="15.75" customHeight="1" x14ac:dyDescent="0.3">
      <c r="C636" s="2"/>
    </row>
    <row r="637" spans="3:3" ht="15.75" customHeight="1" x14ac:dyDescent="0.3">
      <c r="C637" s="2"/>
    </row>
    <row r="638" spans="3:3" ht="15.75" customHeight="1" x14ac:dyDescent="0.3">
      <c r="C638" s="2"/>
    </row>
    <row r="639" spans="3:3" ht="15.75" customHeight="1" x14ac:dyDescent="0.3">
      <c r="C639" s="2"/>
    </row>
    <row r="640" spans="3:3" ht="15.75" customHeight="1" x14ac:dyDescent="0.3">
      <c r="C640" s="2"/>
    </row>
    <row r="641" spans="3:3" ht="15.75" customHeight="1" x14ac:dyDescent="0.3">
      <c r="C641" s="2"/>
    </row>
    <row r="642" spans="3:3" ht="15.75" customHeight="1" x14ac:dyDescent="0.3">
      <c r="C642" s="2"/>
    </row>
    <row r="643" spans="3:3" ht="15.75" customHeight="1" x14ac:dyDescent="0.3">
      <c r="C643" s="2"/>
    </row>
    <row r="644" spans="3:3" ht="15.75" customHeight="1" x14ac:dyDescent="0.3">
      <c r="C644" s="2"/>
    </row>
    <row r="645" spans="3:3" ht="15.75" customHeight="1" x14ac:dyDescent="0.3">
      <c r="C645" s="2"/>
    </row>
    <row r="646" spans="3:3" ht="15.75" customHeight="1" x14ac:dyDescent="0.3">
      <c r="C646" s="2"/>
    </row>
    <row r="647" spans="3:3" ht="15.75" customHeight="1" x14ac:dyDescent="0.3">
      <c r="C647" s="2"/>
    </row>
    <row r="648" spans="3:3" ht="15.75" customHeight="1" x14ac:dyDescent="0.3">
      <c r="C648" s="2"/>
    </row>
    <row r="649" spans="3:3" ht="15.75" customHeight="1" x14ac:dyDescent="0.3">
      <c r="C649" s="2"/>
    </row>
    <row r="650" spans="3:3" ht="15.75" customHeight="1" x14ac:dyDescent="0.3">
      <c r="C650" s="2"/>
    </row>
    <row r="651" spans="3:3" ht="15.75" customHeight="1" x14ac:dyDescent="0.3">
      <c r="C651" s="2"/>
    </row>
    <row r="652" spans="3:3" ht="15.75" customHeight="1" x14ac:dyDescent="0.3">
      <c r="C652" s="2"/>
    </row>
    <row r="653" spans="3:3" ht="15.75" customHeight="1" x14ac:dyDescent="0.3">
      <c r="C653" s="2"/>
    </row>
    <row r="654" spans="3:3" ht="15.75" customHeight="1" x14ac:dyDescent="0.3">
      <c r="C654" s="2"/>
    </row>
    <row r="655" spans="3:3" ht="15.75" customHeight="1" x14ac:dyDescent="0.3">
      <c r="C655" s="2"/>
    </row>
    <row r="656" spans="3:3" ht="15.75" customHeight="1" x14ac:dyDescent="0.3">
      <c r="C656" s="2"/>
    </row>
    <row r="657" spans="3:3" ht="15.75" customHeight="1" x14ac:dyDescent="0.3">
      <c r="C657" s="2"/>
    </row>
    <row r="658" spans="3:3" ht="15.75" customHeight="1" x14ac:dyDescent="0.3">
      <c r="C658" s="2"/>
    </row>
    <row r="659" spans="3:3" ht="15.75" customHeight="1" x14ac:dyDescent="0.3">
      <c r="C659" s="2"/>
    </row>
    <row r="660" spans="3:3" ht="15.75" customHeight="1" x14ac:dyDescent="0.3">
      <c r="C660" s="2"/>
    </row>
    <row r="661" spans="3:3" ht="15.75" customHeight="1" x14ac:dyDescent="0.3">
      <c r="C661" s="2"/>
    </row>
    <row r="662" spans="3:3" ht="15.75" customHeight="1" x14ac:dyDescent="0.3">
      <c r="C662" s="2"/>
    </row>
    <row r="663" spans="3:3" ht="15.75" customHeight="1" x14ac:dyDescent="0.3">
      <c r="C663" s="2"/>
    </row>
    <row r="664" spans="3:3" ht="15.75" customHeight="1" x14ac:dyDescent="0.3">
      <c r="C664" s="2"/>
    </row>
    <row r="665" spans="3:3" ht="15.75" customHeight="1" x14ac:dyDescent="0.3">
      <c r="C665" s="2"/>
    </row>
    <row r="666" spans="3:3" ht="15.75" customHeight="1" x14ac:dyDescent="0.3">
      <c r="C666" s="2"/>
    </row>
    <row r="667" spans="3:3" ht="15.75" customHeight="1" x14ac:dyDescent="0.3">
      <c r="C667" s="2"/>
    </row>
    <row r="668" spans="3:3" ht="15.75" customHeight="1" x14ac:dyDescent="0.3">
      <c r="C668" s="2"/>
    </row>
    <row r="669" spans="3:3" ht="15.75" customHeight="1" x14ac:dyDescent="0.3">
      <c r="C669" s="2"/>
    </row>
    <row r="670" spans="3:3" ht="15.75" customHeight="1" x14ac:dyDescent="0.3">
      <c r="C670" s="2"/>
    </row>
    <row r="671" spans="3:3" ht="15.75" customHeight="1" x14ac:dyDescent="0.3">
      <c r="C671" s="2"/>
    </row>
    <row r="672" spans="3:3" ht="15.75" customHeight="1" x14ac:dyDescent="0.3">
      <c r="C672" s="2"/>
    </row>
    <row r="673" spans="3:3" ht="15.75" customHeight="1" x14ac:dyDescent="0.3">
      <c r="C673" s="2"/>
    </row>
    <row r="674" spans="3:3" ht="15.75" customHeight="1" x14ac:dyDescent="0.3">
      <c r="C674" s="2"/>
    </row>
    <row r="675" spans="3:3" ht="15.75" customHeight="1" x14ac:dyDescent="0.3">
      <c r="C675" s="2"/>
    </row>
    <row r="676" spans="3:3" ht="15.75" customHeight="1" x14ac:dyDescent="0.3">
      <c r="C676" s="2"/>
    </row>
    <row r="677" spans="3:3" ht="15.75" customHeight="1" x14ac:dyDescent="0.3">
      <c r="C677" s="2"/>
    </row>
    <row r="678" spans="3:3" ht="15.75" customHeight="1" x14ac:dyDescent="0.3">
      <c r="C678" s="2"/>
    </row>
    <row r="679" spans="3:3" ht="15.75" customHeight="1" x14ac:dyDescent="0.3">
      <c r="C679" s="2"/>
    </row>
    <row r="680" spans="3:3" ht="15.75" customHeight="1" x14ac:dyDescent="0.3">
      <c r="C680" s="2"/>
    </row>
    <row r="681" spans="3:3" ht="15.75" customHeight="1" x14ac:dyDescent="0.3">
      <c r="C681" s="2"/>
    </row>
    <row r="682" spans="3:3" ht="15.75" customHeight="1" x14ac:dyDescent="0.3">
      <c r="C682" s="2"/>
    </row>
    <row r="683" spans="3:3" ht="15.75" customHeight="1" x14ac:dyDescent="0.3">
      <c r="C683" s="2"/>
    </row>
    <row r="684" spans="3:3" ht="15.75" customHeight="1" x14ac:dyDescent="0.3">
      <c r="C684" s="2"/>
    </row>
    <row r="685" spans="3:3" ht="15.75" customHeight="1" x14ac:dyDescent="0.3">
      <c r="C685" s="2"/>
    </row>
    <row r="686" spans="3:3" ht="15.75" customHeight="1" x14ac:dyDescent="0.3">
      <c r="C686" s="2"/>
    </row>
    <row r="687" spans="3:3" ht="15.75" customHeight="1" x14ac:dyDescent="0.3">
      <c r="C687" s="2"/>
    </row>
    <row r="688" spans="3:3" ht="15.75" customHeight="1" x14ac:dyDescent="0.3">
      <c r="C688" s="2"/>
    </row>
    <row r="689" spans="3:3" ht="15.75" customHeight="1" x14ac:dyDescent="0.3">
      <c r="C689" s="2"/>
    </row>
    <row r="690" spans="3:3" ht="15.75" customHeight="1" x14ac:dyDescent="0.3">
      <c r="C690" s="2"/>
    </row>
    <row r="691" spans="3:3" ht="15.75" customHeight="1" x14ac:dyDescent="0.3">
      <c r="C691" s="2"/>
    </row>
    <row r="692" spans="3:3" ht="15.75" customHeight="1" x14ac:dyDescent="0.3">
      <c r="C692" s="2"/>
    </row>
    <row r="693" spans="3:3" ht="15.75" customHeight="1" x14ac:dyDescent="0.3">
      <c r="C693" s="2"/>
    </row>
    <row r="694" spans="3:3" ht="15.75" customHeight="1" x14ac:dyDescent="0.3">
      <c r="C694" s="2"/>
    </row>
    <row r="695" spans="3:3" ht="15.75" customHeight="1" x14ac:dyDescent="0.3">
      <c r="C695" s="2"/>
    </row>
    <row r="696" spans="3:3" ht="15.75" customHeight="1" x14ac:dyDescent="0.3">
      <c r="C696" s="2"/>
    </row>
    <row r="697" spans="3:3" ht="15.75" customHeight="1" x14ac:dyDescent="0.3">
      <c r="C697" s="2"/>
    </row>
    <row r="698" spans="3:3" ht="15.75" customHeight="1" x14ac:dyDescent="0.3">
      <c r="C698" s="2"/>
    </row>
    <row r="699" spans="3:3" ht="15.75" customHeight="1" x14ac:dyDescent="0.3">
      <c r="C699" s="2"/>
    </row>
    <row r="700" spans="3:3" ht="15.75" customHeight="1" x14ac:dyDescent="0.3">
      <c r="C700" s="2"/>
    </row>
    <row r="701" spans="3:3" ht="15.75" customHeight="1" x14ac:dyDescent="0.3">
      <c r="C701" s="2"/>
    </row>
    <row r="702" spans="3:3" ht="15.75" customHeight="1" x14ac:dyDescent="0.3">
      <c r="C702" s="2"/>
    </row>
    <row r="703" spans="3:3" ht="15.75" customHeight="1" x14ac:dyDescent="0.3">
      <c r="C703" s="2"/>
    </row>
    <row r="704" spans="3:3" ht="15.75" customHeight="1" x14ac:dyDescent="0.3">
      <c r="C704" s="2"/>
    </row>
    <row r="705" spans="3:3" ht="15.75" customHeight="1" x14ac:dyDescent="0.3">
      <c r="C705" s="2"/>
    </row>
    <row r="706" spans="3:3" ht="15.75" customHeight="1" x14ac:dyDescent="0.3">
      <c r="C706" s="2"/>
    </row>
    <row r="707" spans="3:3" ht="15.75" customHeight="1" x14ac:dyDescent="0.3">
      <c r="C707" s="2"/>
    </row>
    <row r="708" spans="3:3" ht="15.75" customHeight="1" x14ac:dyDescent="0.3">
      <c r="C708" s="2"/>
    </row>
    <row r="709" spans="3:3" ht="15.75" customHeight="1" x14ac:dyDescent="0.3">
      <c r="C709" s="2"/>
    </row>
    <row r="710" spans="3:3" ht="15.75" customHeight="1" x14ac:dyDescent="0.3">
      <c r="C710" s="2"/>
    </row>
    <row r="711" spans="3:3" ht="15.75" customHeight="1" x14ac:dyDescent="0.3">
      <c r="C711" s="2"/>
    </row>
    <row r="712" spans="3:3" ht="15.75" customHeight="1" x14ac:dyDescent="0.3">
      <c r="C712" s="2"/>
    </row>
    <row r="713" spans="3:3" ht="15.75" customHeight="1" x14ac:dyDescent="0.3">
      <c r="C713" s="2"/>
    </row>
    <row r="714" spans="3:3" ht="15.75" customHeight="1" x14ac:dyDescent="0.3">
      <c r="C714" s="2"/>
    </row>
    <row r="715" spans="3:3" ht="15.75" customHeight="1" x14ac:dyDescent="0.3">
      <c r="C715" s="2"/>
    </row>
    <row r="716" spans="3:3" ht="15.75" customHeight="1" x14ac:dyDescent="0.3">
      <c r="C716" s="2"/>
    </row>
    <row r="717" spans="3:3" ht="15.75" customHeight="1" x14ac:dyDescent="0.3">
      <c r="C717" s="2"/>
    </row>
    <row r="718" spans="3:3" ht="15.75" customHeight="1" x14ac:dyDescent="0.3">
      <c r="C718" s="2"/>
    </row>
    <row r="719" spans="3:3" ht="15.75" customHeight="1" x14ac:dyDescent="0.3">
      <c r="C719" s="2"/>
    </row>
    <row r="720" spans="3:3" ht="15.75" customHeight="1" x14ac:dyDescent="0.3">
      <c r="C720" s="2"/>
    </row>
    <row r="721" spans="3:3" ht="15.75" customHeight="1" x14ac:dyDescent="0.3">
      <c r="C721" s="2"/>
    </row>
    <row r="722" spans="3:3" ht="15.75" customHeight="1" x14ac:dyDescent="0.3">
      <c r="C722" s="2"/>
    </row>
    <row r="723" spans="3:3" ht="15.75" customHeight="1" x14ac:dyDescent="0.3">
      <c r="C723" s="2"/>
    </row>
    <row r="724" spans="3:3" ht="15.75" customHeight="1" x14ac:dyDescent="0.3">
      <c r="C724" s="2"/>
    </row>
    <row r="725" spans="3:3" ht="15.75" customHeight="1" x14ac:dyDescent="0.3">
      <c r="C725" s="2"/>
    </row>
    <row r="726" spans="3:3" ht="15.75" customHeight="1" x14ac:dyDescent="0.3">
      <c r="C726" s="2"/>
    </row>
    <row r="727" spans="3:3" ht="15.75" customHeight="1" x14ac:dyDescent="0.3">
      <c r="C727" s="2"/>
    </row>
    <row r="728" spans="3:3" ht="15.75" customHeight="1" x14ac:dyDescent="0.3">
      <c r="C728" s="2"/>
    </row>
    <row r="729" spans="3:3" ht="15.75" customHeight="1" x14ac:dyDescent="0.3">
      <c r="C729" s="2"/>
    </row>
    <row r="730" spans="3:3" ht="15.75" customHeight="1" x14ac:dyDescent="0.3">
      <c r="C730" s="2"/>
    </row>
    <row r="731" spans="3:3" ht="15.75" customHeight="1" x14ac:dyDescent="0.3">
      <c r="C731" s="2"/>
    </row>
    <row r="732" spans="3:3" ht="15.75" customHeight="1" x14ac:dyDescent="0.3">
      <c r="C732" s="2"/>
    </row>
    <row r="733" spans="3:3" ht="15.75" customHeight="1" x14ac:dyDescent="0.3">
      <c r="C733" s="2"/>
    </row>
    <row r="734" spans="3:3" ht="15.75" customHeight="1" x14ac:dyDescent="0.3">
      <c r="C734" s="2"/>
    </row>
    <row r="735" spans="3:3" ht="15.75" customHeight="1" x14ac:dyDescent="0.3">
      <c r="C735" s="2"/>
    </row>
    <row r="736" spans="3:3" ht="15.75" customHeight="1" x14ac:dyDescent="0.3">
      <c r="C736" s="2"/>
    </row>
    <row r="737" spans="3:3" ht="15.75" customHeight="1" x14ac:dyDescent="0.3">
      <c r="C737" s="2"/>
    </row>
    <row r="738" spans="3:3" ht="15.75" customHeight="1" x14ac:dyDescent="0.3">
      <c r="C738" s="2"/>
    </row>
    <row r="739" spans="3:3" ht="15.75" customHeight="1" x14ac:dyDescent="0.3">
      <c r="C739" s="2"/>
    </row>
    <row r="740" spans="3:3" ht="15.75" customHeight="1" x14ac:dyDescent="0.3">
      <c r="C740" s="2"/>
    </row>
    <row r="741" spans="3:3" ht="15.75" customHeight="1" x14ac:dyDescent="0.3">
      <c r="C741" s="2"/>
    </row>
    <row r="742" spans="3:3" ht="15.75" customHeight="1" x14ac:dyDescent="0.3">
      <c r="C742" s="2"/>
    </row>
    <row r="743" spans="3:3" ht="15.75" customHeight="1" x14ac:dyDescent="0.3">
      <c r="C743" s="2"/>
    </row>
    <row r="744" spans="3:3" ht="15.75" customHeight="1" x14ac:dyDescent="0.3">
      <c r="C744" s="2"/>
    </row>
    <row r="745" spans="3:3" ht="15.75" customHeight="1" x14ac:dyDescent="0.3">
      <c r="C745" s="2"/>
    </row>
    <row r="746" spans="3:3" ht="15.75" customHeight="1" x14ac:dyDescent="0.3">
      <c r="C746" s="2"/>
    </row>
    <row r="747" spans="3:3" ht="15.75" customHeight="1" x14ac:dyDescent="0.3">
      <c r="C747" s="2"/>
    </row>
    <row r="748" spans="3:3" ht="15.75" customHeight="1" x14ac:dyDescent="0.3">
      <c r="C748" s="2"/>
    </row>
    <row r="749" spans="3:3" ht="15.75" customHeight="1" x14ac:dyDescent="0.3">
      <c r="C749" s="2"/>
    </row>
    <row r="750" spans="3:3" ht="15.75" customHeight="1" x14ac:dyDescent="0.3">
      <c r="C750" s="2"/>
    </row>
    <row r="751" spans="3:3" ht="15.75" customHeight="1" x14ac:dyDescent="0.3">
      <c r="C751" s="2"/>
    </row>
    <row r="752" spans="3:3" ht="15.75" customHeight="1" x14ac:dyDescent="0.3">
      <c r="C752" s="2"/>
    </row>
    <row r="753" spans="3:3" ht="15.75" customHeight="1" x14ac:dyDescent="0.3">
      <c r="C753" s="2"/>
    </row>
    <row r="754" spans="3:3" ht="15.75" customHeight="1" x14ac:dyDescent="0.3">
      <c r="C754" s="2"/>
    </row>
    <row r="755" spans="3:3" ht="15.75" customHeight="1" x14ac:dyDescent="0.3">
      <c r="C755" s="2"/>
    </row>
    <row r="756" spans="3:3" ht="15.75" customHeight="1" x14ac:dyDescent="0.3">
      <c r="C756" s="2"/>
    </row>
    <row r="757" spans="3:3" ht="15.75" customHeight="1" x14ac:dyDescent="0.3">
      <c r="C757" s="2"/>
    </row>
    <row r="758" spans="3:3" ht="15.75" customHeight="1" x14ac:dyDescent="0.3">
      <c r="C758" s="2"/>
    </row>
    <row r="759" spans="3:3" ht="15.75" customHeight="1" x14ac:dyDescent="0.3">
      <c r="C759" s="2"/>
    </row>
    <row r="760" spans="3:3" ht="15.75" customHeight="1" x14ac:dyDescent="0.3">
      <c r="C760" s="2"/>
    </row>
    <row r="761" spans="3:3" ht="15.75" customHeight="1" x14ac:dyDescent="0.3">
      <c r="C761" s="2"/>
    </row>
    <row r="762" spans="3:3" ht="15.75" customHeight="1" x14ac:dyDescent="0.3">
      <c r="C762" s="2"/>
    </row>
    <row r="763" spans="3:3" ht="15.75" customHeight="1" x14ac:dyDescent="0.3">
      <c r="C763" s="2"/>
    </row>
    <row r="764" spans="3:3" ht="15.75" customHeight="1" x14ac:dyDescent="0.3">
      <c r="C764" s="2"/>
    </row>
    <row r="765" spans="3:3" ht="15.75" customHeight="1" x14ac:dyDescent="0.3">
      <c r="C765" s="2"/>
    </row>
    <row r="766" spans="3:3" ht="15.75" customHeight="1" x14ac:dyDescent="0.3">
      <c r="C766" s="2"/>
    </row>
    <row r="767" spans="3:3" ht="15.75" customHeight="1" x14ac:dyDescent="0.3">
      <c r="C767" s="2"/>
    </row>
    <row r="768" spans="3:3" ht="15.75" customHeight="1" x14ac:dyDescent="0.3">
      <c r="C768" s="2"/>
    </row>
    <row r="769" spans="3:3" ht="15.75" customHeight="1" x14ac:dyDescent="0.3">
      <c r="C769" s="2"/>
    </row>
    <row r="770" spans="3:3" ht="15.75" customHeight="1" x14ac:dyDescent="0.3">
      <c r="C770" s="2"/>
    </row>
    <row r="771" spans="3:3" ht="15.75" customHeight="1" x14ac:dyDescent="0.3">
      <c r="C771" s="2"/>
    </row>
    <row r="772" spans="3:3" ht="15.75" customHeight="1" x14ac:dyDescent="0.3">
      <c r="C772" s="2"/>
    </row>
    <row r="773" spans="3:3" ht="15.75" customHeight="1" x14ac:dyDescent="0.3">
      <c r="C773" s="2"/>
    </row>
    <row r="774" spans="3:3" ht="15.75" customHeight="1" x14ac:dyDescent="0.3">
      <c r="C774" s="2"/>
    </row>
    <row r="775" spans="3:3" ht="15.75" customHeight="1" x14ac:dyDescent="0.3">
      <c r="C775" s="2"/>
    </row>
    <row r="776" spans="3:3" ht="15.75" customHeight="1" x14ac:dyDescent="0.3">
      <c r="C776" s="2"/>
    </row>
    <row r="777" spans="3:3" ht="15.75" customHeight="1" x14ac:dyDescent="0.3">
      <c r="C777" s="2"/>
    </row>
    <row r="778" spans="3:3" ht="15.75" customHeight="1" x14ac:dyDescent="0.3">
      <c r="C778" s="2"/>
    </row>
    <row r="779" spans="3:3" ht="15.75" customHeight="1" x14ac:dyDescent="0.3">
      <c r="C779" s="2"/>
    </row>
    <row r="780" spans="3:3" ht="15.75" customHeight="1" x14ac:dyDescent="0.3">
      <c r="C780" s="2"/>
    </row>
    <row r="781" spans="3:3" ht="15.75" customHeight="1" x14ac:dyDescent="0.3">
      <c r="C781" s="2"/>
    </row>
    <row r="782" spans="3:3" ht="15.75" customHeight="1" x14ac:dyDescent="0.3">
      <c r="C782" s="2"/>
    </row>
    <row r="783" spans="3:3" ht="15.75" customHeight="1" x14ac:dyDescent="0.3">
      <c r="C783" s="2"/>
    </row>
    <row r="784" spans="3:3" ht="15.75" customHeight="1" x14ac:dyDescent="0.3">
      <c r="C784" s="2"/>
    </row>
    <row r="785" spans="3:3" ht="15.75" customHeight="1" x14ac:dyDescent="0.3">
      <c r="C785" s="2"/>
    </row>
    <row r="786" spans="3:3" ht="15.75" customHeight="1" x14ac:dyDescent="0.3">
      <c r="C786" s="2"/>
    </row>
    <row r="787" spans="3:3" ht="15.75" customHeight="1" x14ac:dyDescent="0.3">
      <c r="C787" s="2"/>
    </row>
    <row r="788" spans="3:3" ht="15.75" customHeight="1" x14ac:dyDescent="0.3">
      <c r="C788" s="2"/>
    </row>
    <row r="789" spans="3:3" ht="15.75" customHeight="1" x14ac:dyDescent="0.3">
      <c r="C789" s="2"/>
    </row>
    <row r="790" spans="3:3" ht="15.75" customHeight="1" x14ac:dyDescent="0.3">
      <c r="C790" s="2"/>
    </row>
    <row r="791" spans="3:3" ht="15.75" customHeight="1" x14ac:dyDescent="0.3">
      <c r="C791" s="2"/>
    </row>
    <row r="792" spans="3:3" ht="15.75" customHeight="1" x14ac:dyDescent="0.3">
      <c r="C792" s="2"/>
    </row>
    <row r="793" spans="3:3" ht="15.75" customHeight="1" x14ac:dyDescent="0.3">
      <c r="C793" s="2"/>
    </row>
    <row r="794" spans="3:3" ht="15.75" customHeight="1" x14ac:dyDescent="0.3">
      <c r="C794" s="2"/>
    </row>
    <row r="795" spans="3:3" ht="15.75" customHeight="1" x14ac:dyDescent="0.3">
      <c r="C795" s="2"/>
    </row>
    <row r="796" spans="3:3" ht="15.75" customHeight="1" x14ac:dyDescent="0.3">
      <c r="C796" s="2"/>
    </row>
    <row r="797" spans="3:3" ht="15.75" customHeight="1" x14ac:dyDescent="0.3">
      <c r="C797" s="2"/>
    </row>
    <row r="798" spans="3:3" ht="15.75" customHeight="1" x14ac:dyDescent="0.3">
      <c r="C798" s="2"/>
    </row>
    <row r="799" spans="3:3" ht="15.75" customHeight="1" x14ac:dyDescent="0.3">
      <c r="C799" s="2"/>
    </row>
    <row r="800" spans="3:3" ht="15.75" customHeight="1" x14ac:dyDescent="0.3">
      <c r="C800" s="2"/>
    </row>
    <row r="801" spans="3:3" ht="15.75" customHeight="1" x14ac:dyDescent="0.3">
      <c r="C801" s="2"/>
    </row>
    <row r="802" spans="3:3" ht="15.75" customHeight="1" x14ac:dyDescent="0.3">
      <c r="C802" s="2"/>
    </row>
    <row r="803" spans="3:3" ht="15.75" customHeight="1" x14ac:dyDescent="0.3">
      <c r="C803" s="2"/>
    </row>
    <row r="804" spans="3:3" ht="15.75" customHeight="1" x14ac:dyDescent="0.3">
      <c r="C804" s="2"/>
    </row>
    <row r="805" spans="3:3" ht="15.75" customHeight="1" x14ac:dyDescent="0.3">
      <c r="C805" s="2"/>
    </row>
    <row r="806" spans="3:3" ht="15.75" customHeight="1" x14ac:dyDescent="0.3">
      <c r="C806" s="2"/>
    </row>
    <row r="807" spans="3:3" ht="15.75" customHeight="1" x14ac:dyDescent="0.3">
      <c r="C807" s="2"/>
    </row>
    <row r="808" spans="3:3" ht="15.75" customHeight="1" x14ac:dyDescent="0.3">
      <c r="C808" s="2"/>
    </row>
    <row r="809" spans="3:3" ht="15.75" customHeight="1" x14ac:dyDescent="0.3">
      <c r="C809" s="2"/>
    </row>
    <row r="810" spans="3:3" ht="15.75" customHeight="1" x14ac:dyDescent="0.3">
      <c r="C810" s="2"/>
    </row>
    <row r="811" spans="3:3" ht="15.75" customHeight="1" x14ac:dyDescent="0.3">
      <c r="C811" s="2"/>
    </row>
    <row r="812" spans="3:3" ht="15.75" customHeight="1" x14ac:dyDescent="0.3">
      <c r="C812" s="2"/>
    </row>
    <row r="813" spans="3:3" ht="15.75" customHeight="1" x14ac:dyDescent="0.3">
      <c r="C813" s="2"/>
    </row>
    <row r="814" spans="3:3" ht="15.75" customHeight="1" x14ac:dyDescent="0.3">
      <c r="C814" s="2"/>
    </row>
    <row r="815" spans="3:3" ht="15.75" customHeight="1" x14ac:dyDescent="0.3">
      <c r="C815" s="2"/>
    </row>
    <row r="816" spans="3:3" ht="15.75" customHeight="1" x14ac:dyDescent="0.3">
      <c r="C816" s="2"/>
    </row>
    <row r="817" spans="3:3" ht="15.75" customHeight="1" x14ac:dyDescent="0.3">
      <c r="C817" s="2"/>
    </row>
    <row r="818" spans="3:3" ht="15.75" customHeight="1" x14ac:dyDescent="0.3">
      <c r="C818" s="2"/>
    </row>
    <row r="819" spans="3:3" ht="15.75" customHeight="1" x14ac:dyDescent="0.3">
      <c r="C819" s="2"/>
    </row>
    <row r="820" spans="3:3" ht="15.75" customHeight="1" x14ac:dyDescent="0.3">
      <c r="C820" s="2"/>
    </row>
    <row r="821" spans="3:3" ht="15.75" customHeight="1" x14ac:dyDescent="0.3">
      <c r="C821" s="2"/>
    </row>
    <row r="822" spans="3:3" ht="15.75" customHeight="1" x14ac:dyDescent="0.3">
      <c r="C822" s="2"/>
    </row>
    <row r="823" spans="3:3" ht="15.75" customHeight="1" x14ac:dyDescent="0.3">
      <c r="C823" s="2"/>
    </row>
    <row r="824" spans="3:3" ht="15.75" customHeight="1" x14ac:dyDescent="0.3">
      <c r="C824" s="2"/>
    </row>
    <row r="825" spans="3:3" ht="15.75" customHeight="1" x14ac:dyDescent="0.3">
      <c r="C825" s="2"/>
    </row>
    <row r="826" spans="3:3" ht="15.75" customHeight="1" x14ac:dyDescent="0.3">
      <c r="C826" s="2"/>
    </row>
    <row r="827" spans="3:3" ht="15.75" customHeight="1" x14ac:dyDescent="0.3">
      <c r="C827" s="2"/>
    </row>
    <row r="828" spans="3:3" ht="15.75" customHeight="1" x14ac:dyDescent="0.3">
      <c r="C828" s="2"/>
    </row>
    <row r="829" spans="3:3" ht="15.75" customHeight="1" x14ac:dyDescent="0.3">
      <c r="C829" s="2"/>
    </row>
    <row r="830" spans="3:3" ht="15.75" customHeight="1" x14ac:dyDescent="0.3">
      <c r="C830" s="2"/>
    </row>
    <row r="831" spans="3:3" ht="15.75" customHeight="1" x14ac:dyDescent="0.3">
      <c r="C831" s="2"/>
    </row>
    <row r="832" spans="3:3" ht="15.75" customHeight="1" x14ac:dyDescent="0.3">
      <c r="C832" s="2"/>
    </row>
    <row r="833" spans="3:3" ht="15.75" customHeight="1" x14ac:dyDescent="0.3">
      <c r="C833" s="2"/>
    </row>
    <row r="834" spans="3:3" ht="15.75" customHeight="1" x14ac:dyDescent="0.3">
      <c r="C834" s="2"/>
    </row>
    <row r="835" spans="3:3" ht="15.75" customHeight="1" x14ac:dyDescent="0.3">
      <c r="C835" s="2"/>
    </row>
    <row r="836" spans="3:3" ht="15.75" customHeight="1" x14ac:dyDescent="0.3">
      <c r="C836" s="2"/>
    </row>
    <row r="837" spans="3:3" ht="15.75" customHeight="1" x14ac:dyDescent="0.3">
      <c r="C837" s="2"/>
    </row>
    <row r="838" spans="3:3" ht="15.75" customHeight="1" x14ac:dyDescent="0.3">
      <c r="C838" s="2"/>
    </row>
    <row r="839" spans="3:3" ht="15.75" customHeight="1" x14ac:dyDescent="0.3">
      <c r="C839" s="2"/>
    </row>
    <row r="840" spans="3:3" ht="15.75" customHeight="1" x14ac:dyDescent="0.3">
      <c r="C840" s="2"/>
    </row>
    <row r="841" spans="3:3" ht="15.75" customHeight="1" x14ac:dyDescent="0.3">
      <c r="C841" s="2"/>
    </row>
    <row r="842" spans="3:3" ht="15.75" customHeight="1" x14ac:dyDescent="0.3">
      <c r="C842" s="2"/>
    </row>
    <row r="843" spans="3:3" ht="15.75" customHeight="1" x14ac:dyDescent="0.3">
      <c r="C843" s="2"/>
    </row>
    <row r="844" spans="3:3" ht="15.75" customHeight="1" x14ac:dyDescent="0.3">
      <c r="C844" s="2"/>
    </row>
    <row r="845" spans="3:3" ht="15.75" customHeight="1" x14ac:dyDescent="0.3">
      <c r="C845" s="2"/>
    </row>
    <row r="846" spans="3:3" ht="15.75" customHeight="1" x14ac:dyDescent="0.3">
      <c r="C846" s="2"/>
    </row>
    <row r="847" spans="3:3" ht="15.75" customHeight="1" x14ac:dyDescent="0.3">
      <c r="C847" s="2"/>
    </row>
    <row r="848" spans="3:3" ht="15.75" customHeight="1" x14ac:dyDescent="0.3">
      <c r="C848" s="2"/>
    </row>
    <row r="849" spans="3:3" ht="15.75" customHeight="1" x14ac:dyDescent="0.3">
      <c r="C849" s="2"/>
    </row>
    <row r="850" spans="3:3" ht="15.75" customHeight="1" x14ac:dyDescent="0.3">
      <c r="C850" s="2"/>
    </row>
    <row r="851" spans="3:3" ht="15.75" customHeight="1" x14ac:dyDescent="0.3">
      <c r="C851" s="2"/>
    </row>
    <row r="852" spans="3:3" ht="15.75" customHeight="1" x14ac:dyDescent="0.3">
      <c r="C852" s="2"/>
    </row>
    <row r="853" spans="3:3" ht="15.75" customHeight="1" x14ac:dyDescent="0.3">
      <c r="C853" s="2"/>
    </row>
    <row r="854" spans="3:3" ht="15.75" customHeight="1" x14ac:dyDescent="0.3">
      <c r="C854" s="2"/>
    </row>
    <row r="855" spans="3:3" ht="15.75" customHeight="1" x14ac:dyDescent="0.3">
      <c r="C855" s="2"/>
    </row>
    <row r="856" spans="3:3" ht="15.75" customHeight="1" x14ac:dyDescent="0.3">
      <c r="C856" s="2"/>
    </row>
    <row r="857" spans="3:3" ht="15.75" customHeight="1" x14ac:dyDescent="0.3">
      <c r="C857" s="2"/>
    </row>
    <row r="858" spans="3:3" ht="15.75" customHeight="1" x14ac:dyDescent="0.3">
      <c r="C858" s="2"/>
    </row>
    <row r="859" spans="3:3" ht="15.75" customHeight="1" x14ac:dyDescent="0.3">
      <c r="C859" s="2"/>
    </row>
    <row r="860" spans="3:3" ht="15.75" customHeight="1" x14ac:dyDescent="0.3">
      <c r="C860" s="2"/>
    </row>
    <row r="861" spans="3:3" ht="15.75" customHeight="1" x14ac:dyDescent="0.3">
      <c r="C861" s="2"/>
    </row>
    <row r="862" spans="3:3" ht="15.75" customHeight="1" x14ac:dyDescent="0.3">
      <c r="C862" s="2"/>
    </row>
    <row r="863" spans="3:3" ht="15.75" customHeight="1" x14ac:dyDescent="0.3">
      <c r="C863" s="2"/>
    </row>
    <row r="864" spans="3:3" ht="15.75" customHeight="1" x14ac:dyDescent="0.3">
      <c r="C864" s="2"/>
    </row>
    <row r="865" spans="3:3" ht="15.75" customHeight="1" x14ac:dyDescent="0.3">
      <c r="C865" s="2"/>
    </row>
    <row r="866" spans="3:3" ht="15.75" customHeight="1" x14ac:dyDescent="0.3">
      <c r="C866" s="2"/>
    </row>
    <row r="867" spans="3:3" ht="15.75" customHeight="1" x14ac:dyDescent="0.3">
      <c r="C867" s="2"/>
    </row>
    <row r="868" spans="3:3" ht="15.75" customHeight="1" x14ac:dyDescent="0.3">
      <c r="C868" s="2"/>
    </row>
    <row r="869" spans="3:3" ht="15.75" customHeight="1" x14ac:dyDescent="0.3">
      <c r="C869" s="2"/>
    </row>
    <row r="870" spans="3:3" ht="15.75" customHeight="1" x14ac:dyDescent="0.3">
      <c r="C870" s="2"/>
    </row>
    <row r="871" spans="3:3" ht="15.75" customHeight="1" x14ac:dyDescent="0.3">
      <c r="C871" s="2"/>
    </row>
    <row r="872" spans="3:3" ht="15.75" customHeight="1" x14ac:dyDescent="0.3">
      <c r="C872" s="2"/>
    </row>
    <row r="873" spans="3:3" ht="15.75" customHeight="1" x14ac:dyDescent="0.3">
      <c r="C873" s="2"/>
    </row>
    <row r="874" spans="3:3" ht="15.75" customHeight="1" x14ac:dyDescent="0.3">
      <c r="C874" s="2"/>
    </row>
    <row r="875" spans="3:3" ht="15.75" customHeight="1" x14ac:dyDescent="0.3">
      <c r="C875" s="2"/>
    </row>
    <row r="876" spans="3:3" ht="15.75" customHeight="1" x14ac:dyDescent="0.3">
      <c r="C876" s="2"/>
    </row>
    <row r="877" spans="3:3" ht="15.75" customHeight="1" x14ac:dyDescent="0.3">
      <c r="C877" s="2"/>
    </row>
    <row r="878" spans="3:3" ht="15.75" customHeight="1" x14ac:dyDescent="0.3">
      <c r="C878" s="2"/>
    </row>
    <row r="879" spans="3:3" ht="15.75" customHeight="1" x14ac:dyDescent="0.3">
      <c r="C879" s="2"/>
    </row>
    <row r="880" spans="3:3" ht="15.75" customHeight="1" x14ac:dyDescent="0.3">
      <c r="C880" s="2"/>
    </row>
    <row r="881" spans="3:3" ht="15.75" customHeight="1" x14ac:dyDescent="0.3">
      <c r="C881" s="2"/>
    </row>
    <row r="882" spans="3:3" ht="15.75" customHeight="1" x14ac:dyDescent="0.3">
      <c r="C882" s="2"/>
    </row>
    <row r="883" spans="3:3" ht="15.75" customHeight="1" x14ac:dyDescent="0.3">
      <c r="C883" s="2"/>
    </row>
    <row r="884" spans="3:3" ht="15.75" customHeight="1" x14ac:dyDescent="0.3">
      <c r="C884" s="2"/>
    </row>
    <row r="885" spans="3:3" ht="15.75" customHeight="1" x14ac:dyDescent="0.3">
      <c r="C885" s="2"/>
    </row>
    <row r="886" spans="3:3" ht="15.75" customHeight="1" x14ac:dyDescent="0.3">
      <c r="C886" s="2"/>
    </row>
    <row r="887" spans="3:3" ht="15.75" customHeight="1" x14ac:dyDescent="0.3">
      <c r="C887" s="2"/>
    </row>
    <row r="888" spans="3:3" ht="15.75" customHeight="1" x14ac:dyDescent="0.3">
      <c r="C888" s="2"/>
    </row>
    <row r="889" spans="3:3" ht="15.75" customHeight="1" x14ac:dyDescent="0.3">
      <c r="C889" s="2"/>
    </row>
    <row r="890" spans="3:3" ht="15.75" customHeight="1" x14ac:dyDescent="0.3">
      <c r="C890" s="2"/>
    </row>
    <row r="891" spans="3:3" ht="15.75" customHeight="1" x14ac:dyDescent="0.3">
      <c r="C891" s="2"/>
    </row>
    <row r="892" spans="3:3" ht="15.75" customHeight="1" x14ac:dyDescent="0.3">
      <c r="C892" s="2"/>
    </row>
    <row r="893" spans="3:3" ht="15.75" customHeight="1" x14ac:dyDescent="0.3">
      <c r="C893" s="2"/>
    </row>
    <row r="894" spans="3:3" ht="15.75" customHeight="1" x14ac:dyDescent="0.3">
      <c r="C894" s="2"/>
    </row>
    <row r="895" spans="3:3" ht="15.75" customHeight="1" x14ac:dyDescent="0.3">
      <c r="C895" s="2"/>
    </row>
    <row r="896" spans="3:3" ht="15.75" customHeight="1" x14ac:dyDescent="0.3">
      <c r="C896" s="2"/>
    </row>
    <row r="897" spans="3:3" ht="15.75" customHeight="1" x14ac:dyDescent="0.3">
      <c r="C897" s="2"/>
    </row>
    <row r="898" spans="3:3" ht="15.75" customHeight="1" x14ac:dyDescent="0.3">
      <c r="C898" s="2"/>
    </row>
    <row r="899" spans="3:3" ht="15.75" customHeight="1" x14ac:dyDescent="0.3">
      <c r="C899" s="2"/>
    </row>
    <row r="900" spans="3:3" ht="15.75" customHeight="1" x14ac:dyDescent="0.3">
      <c r="C900" s="2"/>
    </row>
    <row r="901" spans="3:3" ht="15.75" customHeight="1" x14ac:dyDescent="0.3">
      <c r="C901" s="2"/>
    </row>
    <row r="902" spans="3:3" ht="15.75" customHeight="1" x14ac:dyDescent="0.3">
      <c r="C902" s="2"/>
    </row>
    <row r="903" spans="3:3" ht="15.75" customHeight="1" x14ac:dyDescent="0.3">
      <c r="C903" s="2"/>
    </row>
    <row r="904" spans="3:3" ht="15.75" customHeight="1" x14ac:dyDescent="0.3">
      <c r="C904" s="2"/>
    </row>
    <row r="905" spans="3:3" ht="15.75" customHeight="1" x14ac:dyDescent="0.3">
      <c r="C905" s="2"/>
    </row>
    <row r="906" spans="3:3" ht="15.75" customHeight="1" x14ac:dyDescent="0.3">
      <c r="C906" s="2"/>
    </row>
    <row r="907" spans="3:3" ht="15.75" customHeight="1" x14ac:dyDescent="0.3">
      <c r="C907" s="2"/>
    </row>
    <row r="908" spans="3:3" ht="15.75" customHeight="1" x14ac:dyDescent="0.3">
      <c r="C908" s="2"/>
    </row>
    <row r="909" spans="3:3" ht="15.75" customHeight="1" x14ac:dyDescent="0.3">
      <c r="C909" s="2"/>
    </row>
    <row r="910" spans="3:3" ht="15.75" customHeight="1" x14ac:dyDescent="0.3">
      <c r="C910" s="2"/>
    </row>
    <row r="911" spans="3:3" ht="15.75" customHeight="1" x14ac:dyDescent="0.3">
      <c r="C911" s="2"/>
    </row>
    <row r="912" spans="3:3" ht="15.75" customHeight="1" x14ac:dyDescent="0.3">
      <c r="C912" s="2"/>
    </row>
    <row r="913" spans="3:3" ht="15.75" customHeight="1" x14ac:dyDescent="0.3">
      <c r="C913" s="2"/>
    </row>
    <row r="914" spans="3:3" ht="15.75" customHeight="1" x14ac:dyDescent="0.3">
      <c r="C914" s="2"/>
    </row>
    <row r="915" spans="3:3" ht="15.75" customHeight="1" x14ac:dyDescent="0.3">
      <c r="C915" s="2"/>
    </row>
    <row r="916" spans="3:3" ht="15.75" customHeight="1" x14ac:dyDescent="0.3">
      <c r="C916" s="2"/>
    </row>
    <row r="917" spans="3:3" ht="15.75" customHeight="1" x14ac:dyDescent="0.3">
      <c r="C917" s="2"/>
    </row>
    <row r="918" spans="3:3" ht="15.75" customHeight="1" x14ac:dyDescent="0.3">
      <c r="C918" s="2"/>
    </row>
    <row r="919" spans="3:3" ht="15.75" customHeight="1" x14ac:dyDescent="0.3">
      <c r="C919" s="2"/>
    </row>
    <row r="920" spans="3:3" ht="15.75" customHeight="1" x14ac:dyDescent="0.3">
      <c r="C920" s="2"/>
    </row>
    <row r="921" spans="3:3" ht="15.75" customHeight="1" x14ac:dyDescent="0.3">
      <c r="C921" s="2"/>
    </row>
    <row r="922" spans="3:3" ht="15.75" customHeight="1" x14ac:dyDescent="0.3">
      <c r="C922" s="2"/>
    </row>
    <row r="923" spans="3:3" ht="15.75" customHeight="1" x14ac:dyDescent="0.3">
      <c r="C923" s="2"/>
    </row>
    <row r="924" spans="3:3" ht="15.75" customHeight="1" x14ac:dyDescent="0.3">
      <c r="C924" s="2"/>
    </row>
    <row r="925" spans="3:3" ht="15.75" customHeight="1" x14ac:dyDescent="0.3">
      <c r="C925" s="2"/>
    </row>
    <row r="926" spans="3:3" ht="15.75" customHeight="1" x14ac:dyDescent="0.3">
      <c r="C926" s="2"/>
    </row>
    <row r="927" spans="3:3" ht="15.75" customHeight="1" x14ac:dyDescent="0.3">
      <c r="C927" s="2"/>
    </row>
    <row r="928" spans="3:3" ht="15.75" customHeight="1" x14ac:dyDescent="0.3">
      <c r="C928" s="2"/>
    </row>
    <row r="929" spans="3:3" ht="15.75" customHeight="1" x14ac:dyDescent="0.3">
      <c r="C929" s="2"/>
    </row>
    <row r="930" spans="3:3" ht="15.75" customHeight="1" x14ac:dyDescent="0.3">
      <c r="C930" s="2"/>
    </row>
    <row r="931" spans="3:3" ht="15.75" customHeight="1" x14ac:dyDescent="0.3">
      <c r="C931" s="2"/>
    </row>
    <row r="932" spans="3:3" ht="15.75" customHeight="1" x14ac:dyDescent="0.3">
      <c r="C932" s="2"/>
    </row>
    <row r="933" spans="3:3" ht="15.75" customHeight="1" x14ac:dyDescent="0.3">
      <c r="C933" s="2"/>
    </row>
    <row r="934" spans="3:3" ht="15.75" customHeight="1" x14ac:dyDescent="0.3">
      <c r="C934" s="2"/>
    </row>
    <row r="935" spans="3:3" ht="15.75" customHeight="1" x14ac:dyDescent="0.3">
      <c r="C935" s="2"/>
    </row>
    <row r="936" spans="3:3" ht="15.75" customHeight="1" x14ac:dyDescent="0.3">
      <c r="C936" s="2"/>
    </row>
    <row r="937" spans="3:3" ht="15.75" customHeight="1" x14ac:dyDescent="0.3">
      <c r="C937" s="2"/>
    </row>
    <row r="938" spans="3:3" ht="15.75" customHeight="1" x14ac:dyDescent="0.3">
      <c r="C938" s="2"/>
    </row>
    <row r="939" spans="3:3" ht="15.75" customHeight="1" x14ac:dyDescent="0.3">
      <c r="C939" s="2"/>
    </row>
    <row r="940" spans="3:3" ht="15.75" customHeight="1" x14ac:dyDescent="0.3">
      <c r="C940" s="2"/>
    </row>
    <row r="941" spans="3:3" ht="15.75" customHeight="1" x14ac:dyDescent="0.3">
      <c r="C941" s="2"/>
    </row>
    <row r="942" spans="3:3" ht="15.75" customHeight="1" x14ac:dyDescent="0.3">
      <c r="C942" s="2"/>
    </row>
    <row r="943" spans="3:3" ht="15.75" customHeight="1" x14ac:dyDescent="0.3">
      <c r="C943" s="2"/>
    </row>
    <row r="944" spans="3:3" ht="15.75" customHeight="1" x14ac:dyDescent="0.3">
      <c r="C944" s="2"/>
    </row>
    <row r="945" spans="3:3" ht="15.75" customHeight="1" x14ac:dyDescent="0.3">
      <c r="C945" s="2"/>
    </row>
    <row r="946" spans="3:3" ht="15.75" customHeight="1" x14ac:dyDescent="0.3">
      <c r="C946" s="2"/>
    </row>
    <row r="947" spans="3:3" ht="15.75" customHeight="1" x14ac:dyDescent="0.3">
      <c r="C947" s="2"/>
    </row>
    <row r="948" spans="3:3" ht="15.75" customHeight="1" x14ac:dyDescent="0.3">
      <c r="C948" s="2"/>
    </row>
    <row r="949" spans="3:3" ht="15.75" customHeight="1" x14ac:dyDescent="0.3">
      <c r="C949" s="2"/>
    </row>
    <row r="950" spans="3:3" ht="15.75" customHeight="1" x14ac:dyDescent="0.3">
      <c r="C950" s="2"/>
    </row>
    <row r="951" spans="3:3" ht="15.75" customHeight="1" x14ac:dyDescent="0.3">
      <c r="C951" s="2"/>
    </row>
    <row r="952" spans="3:3" ht="15.75" customHeight="1" x14ac:dyDescent="0.3">
      <c r="C952" s="2"/>
    </row>
    <row r="953" spans="3:3" ht="15.75" customHeight="1" x14ac:dyDescent="0.3">
      <c r="C953" s="2"/>
    </row>
    <row r="954" spans="3:3" ht="15.75" customHeight="1" x14ac:dyDescent="0.3">
      <c r="C954" s="2"/>
    </row>
    <row r="955" spans="3:3" ht="15.75" customHeight="1" x14ac:dyDescent="0.3">
      <c r="C955" s="2"/>
    </row>
    <row r="956" spans="3:3" ht="15.75" customHeight="1" x14ac:dyDescent="0.3">
      <c r="C956" s="2"/>
    </row>
    <row r="957" spans="3:3" ht="15.75" customHeight="1" x14ac:dyDescent="0.3">
      <c r="C957" s="2"/>
    </row>
    <row r="958" spans="3:3" ht="15.75" customHeight="1" x14ac:dyDescent="0.3">
      <c r="C958" s="2"/>
    </row>
    <row r="959" spans="3:3" ht="15.75" customHeight="1" x14ac:dyDescent="0.3">
      <c r="C959" s="2"/>
    </row>
    <row r="960" spans="3:3" ht="15.75" customHeight="1" x14ac:dyDescent="0.3">
      <c r="C960" s="2"/>
    </row>
    <row r="961" spans="3:3" ht="15.75" customHeight="1" x14ac:dyDescent="0.3">
      <c r="C961" s="2"/>
    </row>
    <row r="962" spans="3:3" ht="15.75" customHeight="1" x14ac:dyDescent="0.3">
      <c r="C962" s="2"/>
    </row>
    <row r="963" spans="3:3" ht="15.75" customHeight="1" x14ac:dyDescent="0.3">
      <c r="C963" s="2"/>
    </row>
    <row r="964" spans="3:3" ht="15.75" customHeight="1" x14ac:dyDescent="0.3">
      <c r="C964" s="2"/>
    </row>
    <row r="965" spans="3:3" ht="15.75" customHeight="1" x14ac:dyDescent="0.3">
      <c r="C965" s="2"/>
    </row>
    <row r="966" spans="3:3" ht="15.75" customHeight="1" x14ac:dyDescent="0.3">
      <c r="C966" s="2"/>
    </row>
    <row r="967" spans="3:3" ht="15.75" customHeight="1" x14ac:dyDescent="0.3">
      <c r="C967" s="2"/>
    </row>
    <row r="968" spans="3:3" ht="15.75" customHeight="1" x14ac:dyDescent="0.3">
      <c r="C968" s="2"/>
    </row>
    <row r="969" spans="3:3" ht="15.75" customHeight="1" x14ac:dyDescent="0.3">
      <c r="C969" s="2"/>
    </row>
    <row r="970" spans="3:3" ht="15.75" customHeight="1" x14ac:dyDescent="0.3">
      <c r="C970" s="2"/>
    </row>
    <row r="971" spans="3:3" ht="15.75" customHeight="1" x14ac:dyDescent="0.3">
      <c r="C971" s="2"/>
    </row>
    <row r="972" spans="3:3" ht="15.75" customHeight="1" x14ac:dyDescent="0.3">
      <c r="C972" s="2"/>
    </row>
    <row r="973" spans="3:3" ht="15.75" customHeight="1" x14ac:dyDescent="0.3">
      <c r="C973" s="2"/>
    </row>
    <row r="974" spans="3:3" ht="15.75" customHeight="1" x14ac:dyDescent="0.3">
      <c r="C974" s="2"/>
    </row>
    <row r="975" spans="3:3" ht="15.75" customHeight="1" x14ac:dyDescent="0.3">
      <c r="C975" s="2"/>
    </row>
    <row r="976" spans="3:3" ht="15.75" customHeight="1" x14ac:dyDescent="0.3">
      <c r="C976" s="2"/>
    </row>
    <row r="977" spans="3:3" ht="15.75" customHeight="1" x14ac:dyDescent="0.3">
      <c r="C977" s="2"/>
    </row>
    <row r="978" spans="3:3" ht="15.75" customHeight="1" x14ac:dyDescent="0.3">
      <c r="C978" s="2"/>
    </row>
    <row r="979" spans="3:3" ht="15.75" customHeight="1" x14ac:dyDescent="0.3">
      <c r="C979" s="2"/>
    </row>
    <row r="980" spans="3:3" ht="15.75" customHeight="1" x14ac:dyDescent="0.3">
      <c r="C980" s="2"/>
    </row>
    <row r="981" spans="3:3" ht="15.75" customHeight="1" x14ac:dyDescent="0.3">
      <c r="C981" s="2"/>
    </row>
    <row r="982" spans="3:3" ht="15.75" customHeight="1" x14ac:dyDescent="0.3">
      <c r="C982" s="2"/>
    </row>
    <row r="983" spans="3:3" ht="15.75" customHeight="1" x14ac:dyDescent="0.3">
      <c r="C983" s="2"/>
    </row>
    <row r="984" spans="3:3" ht="15.75" customHeight="1" x14ac:dyDescent="0.3">
      <c r="C984" s="2"/>
    </row>
    <row r="985" spans="3:3" ht="15.75" customHeight="1" x14ac:dyDescent="0.3">
      <c r="C985" s="2"/>
    </row>
    <row r="986" spans="3:3" ht="15.75" customHeight="1" x14ac:dyDescent="0.3">
      <c r="C986" s="2"/>
    </row>
    <row r="987" spans="3:3" ht="15.75" customHeight="1" x14ac:dyDescent="0.3">
      <c r="C987" s="2"/>
    </row>
    <row r="988" spans="3:3" ht="15.75" customHeight="1" x14ac:dyDescent="0.3">
      <c r="C988" s="2"/>
    </row>
    <row r="989" spans="3:3" ht="15.75" customHeight="1" x14ac:dyDescent="0.3">
      <c r="C989" s="2"/>
    </row>
    <row r="990" spans="3:3" ht="15.75" customHeight="1" x14ac:dyDescent="0.3">
      <c r="C990" s="2"/>
    </row>
    <row r="991" spans="3:3" ht="15.75" customHeight="1" x14ac:dyDescent="0.3">
      <c r="C991" s="2"/>
    </row>
    <row r="992" spans="3:3" ht="15.75" customHeight="1" x14ac:dyDescent="0.3">
      <c r="C992" s="2"/>
    </row>
    <row r="993" spans="3:3" ht="15.75" customHeight="1" x14ac:dyDescent="0.3">
      <c r="C993" s="2"/>
    </row>
    <row r="994" spans="3:3" ht="15.75" customHeight="1" x14ac:dyDescent="0.3">
      <c r="C994" s="2"/>
    </row>
    <row r="995" spans="3:3" ht="15.75" customHeight="1" x14ac:dyDescent="0.3">
      <c r="C995" s="2"/>
    </row>
    <row r="996" spans="3:3" ht="15.75" customHeight="1" x14ac:dyDescent="0.3">
      <c r="C996" s="2"/>
    </row>
    <row r="997" spans="3:3" ht="15.75" customHeight="1" x14ac:dyDescent="0.3">
      <c r="C997" s="2"/>
    </row>
    <row r="998" spans="3:3" ht="15.75" customHeight="1" x14ac:dyDescent="0.3">
      <c r="C998" s="2"/>
    </row>
    <row r="999" spans="3:3" ht="15.75" customHeight="1" x14ac:dyDescent="0.3">
      <c r="C999" s="2"/>
    </row>
    <row r="1000" spans="3:3" ht="15.75" customHeight="1" x14ac:dyDescent="0.3">
      <c r="C1000" s="2"/>
    </row>
  </sheetData>
  <mergeCells count="5">
    <mergeCell ref="E3:G3"/>
    <mergeCell ref="E4:G4"/>
    <mergeCell ref="I8:J9"/>
    <mergeCell ref="I10:J10"/>
    <mergeCell ref="C74:D74"/>
  </mergeCells>
  <conditionalFormatting sqref="E7:G11">
    <cfRule type="cellIs" dxfId="11" priority="1" operator="lessThan">
      <formula>400000</formula>
    </cfRule>
  </conditionalFormatting>
  <conditionalFormatting sqref="E20:G29 E44:F45 E49:F52">
    <cfRule type="containsText" dxfId="10" priority="2" operator="containsText" text="x">
      <formula>NOT(ISERROR(SEARCH(("x"),(E20))))</formula>
    </cfRule>
  </conditionalFormatting>
  <conditionalFormatting sqref="E35:G40 E41:E46 F41:G45">
    <cfRule type="containsText" dxfId="9" priority="3" operator="containsText" text="x">
      <formula>NOT(ISERROR(SEARCH(("x"),(E35))))</formula>
    </cfRule>
  </conditionalFormatting>
  <conditionalFormatting sqref="G49">
    <cfRule type="containsText" dxfId="8" priority="4" operator="containsText" text="x">
      <formula>NOT(ISERROR(SEARCH(("x"),(G49))))</formula>
    </cfRule>
  </conditionalFormatting>
  <pageMargins left="0.25" right="0.25" top="0.75" bottom="0.75" header="0" footer="0"/>
  <pageSetup paperSize="9" fitToHeight="0"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2.66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workbookViewId="0"/>
  </sheetViews>
  <sheetFormatPr baseColWidth="10" defaultColWidth="12.6640625" defaultRowHeight="15" customHeight="1" x14ac:dyDescent="0.3"/>
  <cols>
    <col min="1" max="1" width="64.109375" customWidth="1"/>
    <col min="2" max="2" width="5.21875" customWidth="1"/>
    <col min="3" max="3" width="20.109375" customWidth="1"/>
    <col min="4" max="4" width="15.77734375" customWidth="1"/>
    <col min="5" max="5" width="15.6640625" customWidth="1"/>
    <col min="6" max="6" width="17.77734375" customWidth="1"/>
    <col min="7" max="7" width="21.77734375" customWidth="1"/>
    <col min="8" max="8" width="10.6640625" customWidth="1"/>
    <col min="9" max="9" width="14.77734375" customWidth="1"/>
    <col min="10" max="10" width="14.6640625" customWidth="1"/>
    <col min="11" max="11" width="14.33203125" customWidth="1"/>
    <col min="12" max="26" width="10.6640625" customWidth="1"/>
  </cols>
  <sheetData>
    <row r="1" spans="1:26" ht="71.25" customHeight="1" x14ac:dyDescent="0.3">
      <c r="C1" s="2" t="s">
        <v>1</v>
      </c>
      <c r="E1" s="2" t="s">
        <v>3</v>
      </c>
      <c r="F1" s="4" t="s">
        <v>4</v>
      </c>
      <c r="G1" s="4" t="s">
        <v>8</v>
      </c>
      <c r="I1" s="5" t="s">
        <v>10</v>
      </c>
      <c r="J1" s="6" t="s">
        <v>12</v>
      </c>
      <c r="K1" s="7" t="s">
        <v>13</v>
      </c>
    </row>
    <row r="2" spans="1:26" ht="14.4" x14ac:dyDescent="0.3">
      <c r="A2" s="8" t="s">
        <v>14</v>
      </c>
      <c r="B2" s="8"/>
      <c r="C2" s="9">
        <f>C32+C54</f>
        <v>1067052.58</v>
      </c>
      <c r="D2" s="8"/>
      <c r="E2" s="2">
        <f>C2</f>
        <v>1067052.58</v>
      </c>
      <c r="F2" s="2">
        <f>C16</f>
        <v>706500</v>
      </c>
      <c r="G2" s="2">
        <f>C16+C44+C47</f>
        <v>730602.58</v>
      </c>
      <c r="H2" s="8"/>
      <c r="I2" s="12"/>
      <c r="K2" s="13"/>
      <c r="L2" s="8"/>
      <c r="M2" s="8"/>
      <c r="N2" s="8"/>
      <c r="O2" s="8"/>
      <c r="P2" s="8"/>
      <c r="Q2" s="8"/>
      <c r="R2" s="8"/>
      <c r="S2" s="8"/>
      <c r="T2" s="8"/>
      <c r="U2" s="8"/>
      <c r="V2" s="8"/>
      <c r="W2" s="8"/>
      <c r="X2" s="8"/>
      <c r="Y2" s="8"/>
      <c r="Z2" s="8"/>
    </row>
    <row r="3" spans="1:26" ht="14.4" x14ac:dyDescent="0.3">
      <c r="A3" s="8" t="s">
        <v>22</v>
      </c>
      <c r="B3" s="8"/>
      <c r="C3" s="9"/>
      <c r="D3" s="8"/>
      <c r="E3" s="2">
        <f>SUM(C75)</f>
        <v>320855</v>
      </c>
      <c r="F3" s="2">
        <f>SUM(C75)</f>
        <v>320855</v>
      </c>
      <c r="G3" s="2">
        <f>SUM(C75)</f>
        <v>320855</v>
      </c>
      <c r="H3" s="8"/>
      <c r="I3" s="12"/>
      <c r="K3" s="13"/>
      <c r="L3" s="8"/>
      <c r="M3" s="8"/>
      <c r="N3" s="8"/>
      <c r="O3" s="8"/>
      <c r="P3" s="8"/>
      <c r="Q3" s="8"/>
      <c r="R3" s="8"/>
      <c r="S3" s="8"/>
      <c r="T3" s="8"/>
      <c r="U3" s="8"/>
      <c r="V3" s="8"/>
      <c r="W3" s="8"/>
      <c r="X3" s="8"/>
      <c r="Y3" s="8"/>
      <c r="Z3" s="8"/>
    </row>
    <row r="4" spans="1:26" ht="14.4" x14ac:dyDescent="0.3">
      <c r="A4" s="8" t="s">
        <v>24</v>
      </c>
      <c r="B4" s="8"/>
      <c r="C4" s="8"/>
      <c r="D4" s="8"/>
      <c r="E4" s="2">
        <f t="shared" ref="E4:G4" si="0">$D$75</f>
        <v>462155</v>
      </c>
      <c r="F4" s="2">
        <f t="shared" si="0"/>
        <v>462155</v>
      </c>
      <c r="G4" s="2">
        <f t="shared" si="0"/>
        <v>462155</v>
      </c>
      <c r="H4" s="8"/>
      <c r="I4" s="18">
        <f>0.8*C16</f>
        <v>565200</v>
      </c>
      <c r="J4" s="9">
        <f>K4-I4</f>
        <v>282600</v>
      </c>
      <c r="K4" s="13">
        <f>C16+0.2*C16</f>
        <v>847800</v>
      </c>
      <c r="L4" s="8"/>
      <c r="M4" s="8"/>
      <c r="N4" s="8"/>
      <c r="O4" s="8"/>
      <c r="P4" s="8"/>
      <c r="Q4" s="8"/>
      <c r="R4" s="8"/>
      <c r="S4" s="8"/>
      <c r="T4" s="8"/>
      <c r="U4" s="8"/>
      <c r="V4" s="8"/>
      <c r="W4" s="8"/>
      <c r="X4" s="8"/>
      <c r="Y4" s="8"/>
      <c r="Z4" s="8"/>
    </row>
    <row r="5" spans="1:26" ht="14.4" x14ac:dyDescent="0.3">
      <c r="C5" s="2"/>
      <c r="I5" s="22"/>
      <c r="K5" s="28"/>
    </row>
    <row r="6" spans="1:26" ht="14.4" x14ac:dyDescent="0.3">
      <c r="C6" s="2"/>
      <c r="I6" s="22"/>
      <c r="K6" s="28"/>
    </row>
    <row r="7" spans="1:26" ht="14.4" x14ac:dyDescent="0.3">
      <c r="A7" s="3" t="s">
        <v>26</v>
      </c>
      <c r="C7" s="9"/>
      <c r="E7" s="9">
        <f>$E$2-$E$3</f>
        <v>746197.58000000007</v>
      </c>
      <c r="F7" s="9">
        <f>$F$2-$F$3</f>
        <v>385645</v>
      </c>
      <c r="G7" s="9">
        <f>$G$2-$G$3</f>
        <v>409747.57999999996</v>
      </c>
      <c r="I7" s="22"/>
      <c r="K7" s="28"/>
    </row>
    <row r="8" spans="1:26" ht="14.4" x14ac:dyDescent="0.3">
      <c r="A8" s="3" t="s">
        <v>28</v>
      </c>
      <c r="C8" s="9"/>
      <c r="E8" s="9">
        <f>$E$2-$E$4</f>
        <v>604897.58000000007</v>
      </c>
      <c r="F8" s="9">
        <f>$F$2-$F$4</f>
        <v>244345</v>
      </c>
      <c r="G8" s="9">
        <f>$G$2-$G$4</f>
        <v>268447.57999999996</v>
      </c>
      <c r="I8" s="105" t="s">
        <v>36</v>
      </c>
      <c r="J8" s="106"/>
      <c r="K8" s="28"/>
    </row>
    <row r="9" spans="1:26" ht="14.4" x14ac:dyDescent="0.3">
      <c r="A9" s="8" t="s">
        <v>29</v>
      </c>
      <c r="C9" s="9"/>
      <c r="E9" s="19">
        <f t="shared" ref="E9:G9" si="1">E7*0.2+E7</f>
        <v>895437.09600000014</v>
      </c>
      <c r="F9" s="20">
        <f t="shared" si="1"/>
        <v>462774</v>
      </c>
      <c r="G9" s="23">
        <f t="shared" si="1"/>
        <v>491697.09599999996</v>
      </c>
      <c r="I9" s="107"/>
      <c r="J9" s="108"/>
      <c r="K9" s="28"/>
    </row>
    <row r="10" spans="1:26" ht="14.4" x14ac:dyDescent="0.3">
      <c r="A10" s="8" t="s">
        <v>35</v>
      </c>
      <c r="C10" s="9"/>
      <c r="E10" s="19">
        <f t="shared" ref="E10:G10" si="2">E8*0.2+E8</f>
        <v>725877.09600000014</v>
      </c>
      <c r="F10" s="23">
        <f t="shared" si="2"/>
        <v>293214</v>
      </c>
      <c r="G10" s="31">
        <f t="shared" si="2"/>
        <v>322137.09599999996</v>
      </c>
      <c r="I10" s="109" t="s">
        <v>65</v>
      </c>
      <c r="J10" s="110"/>
      <c r="K10" s="42"/>
    </row>
    <row r="11" spans="1:26" ht="32.25" customHeight="1" x14ac:dyDescent="0.3">
      <c r="A11" s="8" t="s">
        <v>71</v>
      </c>
      <c r="C11" s="9"/>
      <c r="E11" s="19">
        <f>E10+31000+(31000*0.2)</f>
        <v>763077.09600000014</v>
      </c>
      <c r="F11" s="45">
        <f>F10+31000++(31000*0.2)</f>
        <v>330414</v>
      </c>
      <c r="G11" s="45">
        <f>G10+31000+(31000*0.2)</f>
        <v>359337.09599999996</v>
      </c>
    </row>
    <row r="12" spans="1:26" ht="32.25" customHeight="1" x14ac:dyDescent="0.3">
      <c r="A12" s="8"/>
      <c r="C12" s="9"/>
      <c r="E12" s="34"/>
      <c r="F12" s="34"/>
      <c r="G12" s="34"/>
    </row>
    <row r="13" spans="1:26" ht="14.4" x14ac:dyDescent="0.3">
      <c r="A13" s="40" t="s">
        <v>68</v>
      </c>
      <c r="B13" s="44"/>
      <c r="C13" s="46"/>
      <c r="D13" s="44"/>
      <c r="E13" s="44"/>
      <c r="F13" s="44"/>
      <c r="G13" s="44"/>
      <c r="H13" s="44"/>
      <c r="I13" s="44"/>
      <c r="J13" s="44"/>
      <c r="K13" s="44"/>
      <c r="L13" s="44"/>
      <c r="M13" s="44"/>
      <c r="N13" s="44"/>
      <c r="O13" s="44"/>
      <c r="P13" s="44"/>
      <c r="Q13" s="44"/>
      <c r="R13" s="44"/>
      <c r="S13" s="44"/>
      <c r="T13" s="44"/>
      <c r="U13" s="44"/>
      <c r="V13" s="44"/>
      <c r="W13" s="44"/>
      <c r="X13" s="44"/>
      <c r="Y13" s="44"/>
      <c r="Z13" s="44"/>
    </row>
    <row r="14" spans="1:26" ht="14.4" hidden="1" x14ac:dyDescent="0.3">
      <c r="A14" s="49" t="s">
        <v>80</v>
      </c>
      <c r="B14" s="50"/>
      <c r="C14" s="51">
        <f>635000</f>
        <v>635000</v>
      </c>
      <c r="E14" s="3" t="s">
        <v>81</v>
      </c>
      <c r="F14" s="3" t="s">
        <v>81</v>
      </c>
      <c r="G14" s="3" t="s">
        <v>81</v>
      </c>
    </row>
    <row r="15" spans="1:26" ht="14.4" hidden="1" x14ac:dyDescent="0.3">
      <c r="A15" s="52"/>
      <c r="B15" s="3" t="s">
        <v>82</v>
      </c>
      <c r="C15" s="2">
        <f>B16*C14</f>
        <v>0</v>
      </c>
    </row>
    <row r="16" spans="1:26" ht="14.4" x14ac:dyDescent="0.3">
      <c r="A16" s="49" t="s">
        <v>83</v>
      </c>
      <c r="B16" s="55"/>
      <c r="C16" s="51">
        <v>706500</v>
      </c>
      <c r="E16" s="2"/>
      <c r="F16" s="2"/>
      <c r="G16" s="2"/>
      <c r="H16" s="2"/>
    </row>
    <row r="17" spans="1:8" ht="14.4" x14ac:dyDescent="0.3">
      <c r="A17" s="49" t="s">
        <v>84</v>
      </c>
      <c r="B17" s="55"/>
      <c r="C17" s="51">
        <f>C16+50000</f>
        <v>756500</v>
      </c>
      <c r="D17" s="2"/>
      <c r="E17" s="2"/>
      <c r="F17" s="2"/>
      <c r="G17" s="2"/>
      <c r="H17" s="2"/>
    </row>
    <row r="18" spans="1:8" ht="9" customHeight="1" x14ac:dyDescent="0.3">
      <c r="A18" s="12"/>
      <c r="B18" s="56"/>
      <c r="C18" s="9"/>
      <c r="D18" s="2"/>
      <c r="E18" s="2"/>
      <c r="F18" s="2"/>
      <c r="G18" s="2"/>
      <c r="H18" s="2"/>
    </row>
    <row r="19" spans="1:8" ht="14.4" x14ac:dyDescent="0.3">
      <c r="A19" s="52" t="s">
        <v>85</v>
      </c>
      <c r="B19" s="57"/>
      <c r="C19" s="58"/>
    </row>
    <row r="20" spans="1:8" ht="28.8" x14ac:dyDescent="0.3">
      <c r="A20" s="59" t="s">
        <v>86</v>
      </c>
      <c r="C20" s="13">
        <v>60000</v>
      </c>
      <c r="E20" s="3" t="s">
        <v>81</v>
      </c>
      <c r="G20" s="60"/>
    </row>
    <row r="21" spans="1:8" ht="15.75" customHeight="1" x14ac:dyDescent="0.3">
      <c r="A21" s="59" t="s">
        <v>87</v>
      </c>
      <c r="C21" s="13">
        <v>54000</v>
      </c>
      <c r="E21" s="3" t="s">
        <v>81</v>
      </c>
      <c r="G21" s="60"/>
    </row>
    <row r="22" spans="1:8" ht="15.75" customHeight="1" x14ac:dyDescent="0.3">
      <c r="A22" s="59" t="s">
        <v>70</v>
      </c>
      <c r="C22" s="13">
        <v>9000</v>
      </c>
      <c r="E22" s="3" t="s">
        <v>81</v>
      </c>
      <c r="G22" s="60"/>
    </row>
    <row r="23" spans="1:8" ht="15.75" customHeight="1" x14ac:dyDescent="0.3">
      <c r="A23" s="59" t="s">
        <v>88</v>
      </c>
      <c r="C23" s="13">
        <v>18700</v>
      </c>
      <c r="E23" s="3" t="s">
        <v>81</v>
      </c>
    </row>
    <row r="24" spans="1:8" ht="15.75" customHeight="1" x14ac:dyDescent="0.3">
      <c r="A24" s="59" t="s">
        <v>89</v>
      </c>
      <c r="C24" s="13">
        <v>40000</v>
      </c>
      <c r="E24" s="3" t="s">
        <v>81</v>
      </c>
    </row>
    <row r="25" spans="1:8" ht="15.75" customHeight="1" x14ac:dyDescent="0.3">
      <c r="A25" s="59" t="s">
        <v>90</v>
      </c>
      <c r="C25" s="13">
        <v>8000</v>
      </c>
      <c r="E25" s="3" t="s">
        <v>81</v>
      </c>
    </row>
    <row r="26" spans="1:8" ht="15.75" customHeight="1" x14ac:dyDescent="0.3">
      <c r="A26" s="59" t="s">
        <v>91</v>
      </c>
      <c r="C26" s="13">
        <v>100000</v>
      </c>
      <c r="E26" s="3" t="s">
        <v>81</v>
      </c>
    </row>
    <row r="27" spans="1:8" ht="15.75" customHeight="1" x14ac:dyDescent="0.3">
      <c r="A27" s="59" t="s">
        <v>72</v>
      </c>
      <c r="C27" s="13">
        <v>12100</v>
      </c>
      <c r="E27" s="3" t="s">
        <v>81</v>
      </c>
    </row>
    <row r="28" spans="1:8" ht="15.75" customHeight="1" x14ac:dyDescent="0.3">
      <c r="A28" s="59" t="s">
        <v>73</v>
      </c>
      <c r="C28" s="13">
        <v>5500</v>
      </c>
      <c r="E28" s="3" t="s">
        <v>81</v>
      </c>
    </row>
    <row r="29" spans="1:8" ht="15.75" customHeight="1" x14ac:dyDescent="0.3">
      <c r="A29" s="59" t="s">
        <v>74</v>
      </c>
      <c r="C29" s="13">
        <v>2700</v>
      </c>
      <c r="E29" s="3" t="s">
        <v>81</v>
      </c>
    </row>
    <row r="30" spans="1:8" ht="15.75" customHeight="1" x14ac:dyDescent="0.3">
      <c r="A30" s="62" t="s">
        <v>92</v>
      </c>
      <c r="B30" s="63"/>
      <c r="C30" s="64">
        <f>SUM(C20:C29)</f>
        <v>310000</v>
      </c>
    </row>
    <row r="31" spans="1:8" ht="15.75" customHeight="1" x14ac:dyDescent="0.3">
      <c r="A31" s="65"/>
      <c r="C31" s="2"/>
    </row>
    <row r="32" spans="1:8" ht="15.75" customHeight="1" x14ac:dyDescent="0.3">
      <c r="A32" s="66" t="s">
        <v>93</v>
      </c>
      <c r="B32" s="8"/>
      <c r="C32" s="67">
        <f>C16+C30</f>
        <v>1016500</v>
      </c>
    </row>
    <row r="33" spans="1:26" ht="15.75" customHeight="1" x14ac:dyDescent="0.3">
      <c r="A33" s="68" t="s">
        <v>94</v>
      </c>
      <c r="B33" s="44"/>
      <c r="C33" s="46"/>
      <c r="D33" s="44"/>
      <c r="E33" s="44"/>
      <c r="F33" s="44"/>
      <c r="G33" s="44"/>
      <c r="H33" s="44"/>
      <c r="I33" s="44"/>
      <c r="J33" s="44"/>
      <c r="K33" s="44"/>
      <c r="L33" s="44"/>
      <c r="M33" s="44"/>
      <c r="N33" s="44"/>
      <c r="O33" s="44"/>
      <c r="P33" s="44"/>
      <c r="Q33" s="44"/>
      <c r="R33" s="44"/>
      <c r="S33" s="44"/>
      <c r="T33" s="44"/>
      <c r="U33" s="44"/>
      <c r="V33" s="44"/>
      <c r="W33" s="44"/>
      <c r="X33" s="44"/>
      <c r="Y33" s="44"/>
      <c r="Z33" s="44"/>
    </row>
    <row r="34" spans="1:26" ht="15.75" customHeight="1" x14ac:dyDescent="0.3">
      <c r="C34" s="2"/>
      <c r="D34" s="3" t="s">
        <v>95</v>
      </c>
    </row>
    <row r="35" spans="1:26" ht="15.75" customHeight="1" x14ac:dyDescent="0.3">
      <c r="A35" s="69" t="s">
        <v>96</v>
      </c>
      <c r="B35" s="57"/>
      <c r="C35" s="58">
        <v>27100</v>
      </c>
    </row>
    <row r="36" spans="1:26" ht="15.75" customHeight="1" x14ac:dyDescent="0.3">
      <c r="A36" s="70" t="s">
        <v>25</v>
      </c>
      <c r="B36" s="73"/>
      <c r="C36" s="74">
        <v>60500</v>
      </c>
    </row>
    <row r="37" spans="1:26" ht="15.75" customHeight="1" x14ac:dyDescent="0.3">
      <c r="A37" s="22" t="s">
        <v>39</v>
      </c>
      <c r="C37" s="13">
        <v>3510</v>
      </c>
    </row>
    <row r="38" spans="1:26" ht="15.75" customHeight="1" x14ac:dyDescent="0.3">
      <c r="A38" s="69" t="s">
        <v>41</v>
      </c>
      <c r="B38" s="57"/>
      <c r="C38" s="58">
        <f>5970+650</f>
        <v>6620</v>
      </c>
      <c r="D38" s="22"/>
      <c r="E38" s="3" t="s">
        <v>81</v>
      </c>
      <c r="F38" s="3" t="s">
        <v>81</v>
      </c>
      <c r="G38" s="3" t="s">
        <v>81</v>
      </c>
    </row>
    <row r="39" spans="1:26" ht="15.75" customHeight="1" x14ac:dyDescent="0.3">
      <c r="A39" s="22" t="s">
        <v>76</v>
      </c>
      <c r="C39" s="76">
        <v>6850</v>
      </c>
      <c r="E39" s="3" t="s">
        <v>81</v>
      </c>
      <c r="F39" s="3" t="s">
        <v>81</v>
      </c>
      <c r="G39" s="3" t="s">
        <v>81</v>
      </c>
    </row>
    <row r="40" spans="1:26" ht="15.75" customHeight="1" x14ac:dyDescent="0.3">
      <c r="A40" s="22" t="s">
        <v>78</v>
      </c>
      <c r="C40" s="76">
        <v>4207.5</v>
      </c>
      <c r="E40" s="3" t="s">
        <v>81</v>
      </c>
      <c r="F40" s="3" t="s">
        <v>81</v>
      </c>
      <c r="G40" s="3" t="s">
        <v>81</v>
      </c>
    </row>
    <row r="41" spans="1:26" ht="15.75" customHeight="1" x14ac:dyDescent="0.3">
      <c r="A41" s="22" t="s">
        <v>97</v>
      </c>
      <c r="C41" s="75"/>
      <c r="D41" s="22"/>
      <c r="E41" s="3" t="s">
        <v>81</v>
      </c>
      <c r="F41" s="3" t="s">
        <v>81</v>
      </c>
      <c r="G41" s="3" t="s">
        <v>81</v>
      </c>
    </row>
    <row r="42" spans="1:26" ht="15.75" customHeight="1" x14ac:dyDescent="0.3">
      <c r="A42" s="22" t="s">
        <v>46</v>
      </c>
      <c r="C42" s="13">
        <v>3265.08</v>
      </c>
      <c r="D42" s="22"/>
      <c r="E42" s="3" t="s">
        <v>81</v>
      </c>
      <c r="F42" s="3" t="s">
        <v>81</v>
      </c>
      <c r="G42" s="3" t="s">
        <v>81</v>
      </c>
    </row>
    <row r="43" spans="1:26" ht="15.75" customHeight="1" x14ac:dyDescent="0.3">
      <c r="A43" s="22" t="s">
        <v>48</v>
      </c>
      <c r="C43" s="13">
        <v>600</v>
      </c>
      <c r="D43" s="22"/>
      <c r="E43" s="3" t="s">
        <v>81</v>
      </c>
      <c r="F43" s="3" t="s">
        <v>81</v>
      </c>
      <c r="G43" s="3" t="s">
        <v>81</v>
      </c>
    </row>
    <row r="44" spans="1:26" ht="15.75" customHeight="1" x14ac:dyDescent="0.3">
      <c r="A44" s="78" t="s">
        <v>98</v>
      </c>
      <c r="B44" s="63"/>
      <c r="C44" s="64">
        <f>SUM(C38:C43)</f>
        <v>21542.58</v>
      </c>
      <c r="D44" s="22"/>
    </row>
    <row r="45" spans="1:26" ht="15.75" customHeight="1" x14ac:dyDescent="0.3">
      <c r="C45" s="2"/>
    </row>
    <row r="46" spans="1:26" ht="15.75" customHeight="1" x14ac:dyDescent="0.3">
      <c r="A46" s="52" t="s">
        <v>100</v>
      </c>
      <c r="B46" s="57"/>
      <c r="C46" s="58"/>
    </row>
    <row r="47" spans="1:26" ht="15.75" customHeight="1" x14ac:dyDescent="0.3">
      <c r="A47" s="22" t="s">
        <v>101</v>
      </c>
      <c r="C47" s="13">
        <v>2560</v>
      </c>
      <c r="E47" s="3" t="s">
        <v>81</v>
      </c>
      <c r="F47" s="3" t="s">
        <v>81</v>
      </c>
      <c r="G47" s="3" t="s">
        <v>81</v>
      </c>
    </row>
    <row r="48" spans="1:26" ht="45" customHeight="1" x14ac:dyDescent="0.3">
      <c r="A48" s="59" t="s">
        <v>102</v>
      </c>
      <c r="C48" s="13">
        <v>3500</v>
      </c>
      <c r="E48" s="3" t="s">
        <v>81</v>
      </c>
      <c r="F48" s="3" t="s">
        <v>81</v>
      </c>
    </row>
    <row r="49" spans="1:26" ht="75.75" customHeight="1" x14ac:dyDescent="0.3">
      <c r="A49" s="59" t="s">
        <v>104</v>
      </c>
      <c r="C49" s="13">
        <v>2250</v>
      </c>
      <c r="E49" s="3" t="s">
        <v>81</v>
      </c>
      <c r="F49" s="3" t="s">
        <v>81</v>
      </c>
    </row>
    <row r="50" spans="1:26" ht="15.75" customHeight="1" x14ac:dyDescent="0.3">
      <c r="A50" s="59" t="s">
        <v>105</v>
      </c>
      <c r="C50" s="13">
        <v>1500</v>
      </c>
      <c r="E50" s="3" t="s">
        <v>81</v>
      </c>
      <c r="F50" s="3" t="s">
        <v>81</v>
      </c>
    </row>
    <row r="51" spans="1:26" ht="15.75" customHeight="1" x14ac:dyDescent="0.3">
      <c r="A51" s="22" t="s">
        <v>49</v>
      </c>
      <c r="C51" s="13">
        <v>15400</v>
      </c>
      <c r="E51" s="3" t="s">
        <v>81</v>
      </c>
      <c r="F51" s="3" t="s">
        <v>81</v>
      </c>
    </row>
    <row r="52" spans="1:26" ht="15.75" customHeight="1" x14ac:dyDescent="0.3">
      <c r="A52" s="22" t="s">
        <v>99</v>
      </c>
      <c r="C52" s="13">
        <v>3800</v>
      </c>
      <c r="E52" s="3" t="s">
        <v>81</v>
      </c>
      <c r="F52" s="3" t="s">
        <v>81</v>
      </c>
    </row>
    <row r="53" spans="1:26" ht="15.75" customHeight="1" x14ac:dyDescent="0.3">
      <c r="A53" s="62" t="s">
        <v>106</v>
      </c>
      <c r="B53" s="63"/>
      <c r="C53" s="64">
        <f>SUM(C47:C52)</f>
        <v>29010</v>
      </c>
    </row>
    <row r="54" spans="1:26" ht="15.75" customHeight="1" x14ac:dyDescent="0.3">
      <c r="A54" s="8" t="s">
        <v>20</v>
      </c>
      <c r="B54" s="8"/>
      <c r="C54" s="67">
        <f>C44+C53</f>
        <v>50552.58</v>
      </c>
    </row>
    <row r="55" spans="1:26" ht="15.75" customHeight="1" x14ac:dyDescent="0.3">
      <c r="C55" s="2"/>
    </row>
    <row r="56" spans="1:26" ht="15.75" customHeight="1" x14ac:dyDescent="0.3">
      <c r="A56" s="40" t="s">
        <v>108</v>
      </c>
      <c r="B56" s="44"/>
      <c r="C56" s="46"/>
      <c r="D56" s="44"/>
      <c r="E56" s="44"/>
      <c r="F56" s="44"/>
      <c r="G56" s="44"/>
      <c r="H56" s="44"/>
      <c r="I56" s="44"/>
      <c r="J56" s="44"/>
      <c r="K56" s="44"/>
      <c r="L56" s="44"/>
      <c r="M56" s="44"/>
      <c r="N56" s="44"/>
      <c r="O56" s="44"/>
      <c r="P56" s="44"/>
      <c r="Q56" s="44"/>
      <c r="R56" s="44"/>
      <c r="S56" s="44"/>
      <c r="T56" s="44"/>
      <c r="U56" s="44"/>
      <c r="V56" s="44"/>
      <c r="W56" s="44"/>
      <c r="X56" s="44"/>
      <c r="Y56" s="44"/>
      <c r="Z56" s="44"/>
    </row>
    <row r="57" spans="1:26" ht="15.75" customHeight="1" x14ac:dyDescent="0.3">
      <c r="C57" s="2" t="s">
        <v>109</v>
      </c>
      <c r="D57" s="3" t="s">
        <v>111</v>
      </c>
      <c r="G57" s="8" t="s">
        <v>112</v>
      </c>
    </row>
    <row r="58" spans="1:26" ht="15.75" customHeight="1" x14ac:dyDescent="0.3">
      <c r="A58" s="3" t="s">
        <v>113</v>
      </c>
      <c r="C58" s="2">
        <v>99405</v>
      </c>
      <c r="D58" s="2">
        <v>99405</v>
      </c>
      <c r="E58" s="2"/>
    </row>
    <row r="59" spans="1:26" ht="15.75" customHeight="1" x14ac:dyDescent="0.3">
      <c r="A59" s="3" t="s">
        <v>114</v>
      </c>
      <c r="C59" s="2">
        <v>60450</v>
      </c>
      <c r="D59" s="2">
        <v>60450</v>
      </c>
      <c r="E59" s="2"/>
      <c r="G59" s="81" t="s">
        <v>115</v>
      </c>
    </row>
    <row r="60" spans="1:26" ht="15.75" customHeight="1" x14ac:dyDescent="0.3">
      <c r="A60" s="3" t="s">
        <v>117</v>
      </c>
      <c r="C60" s="2">
        <f>0.1*C16</f>
        <v>70650</v>
      </c>
      <c r="D60" s="2">
        <f>0.3*C16</f>
        <v>211950</v>
      </c>
      <c r="E60" s="2"/>
      <c r="F60" s="3" t="s">
        <v>119</v>
      </c>
      <c r="G60" s="81" t="s">
        <v>120</v>
      </c>
    </row>
    <row r="61" spans="1:26" ht="15.75" customHeight="1" x14ac:dyDescent="0.3">
      <c r="A61" s="3" t="s">
        <v>121</v>
      </c>
      <c r="C61" s="2"/>
      <c r="G61" s="81" t="s">
        <v>122</v>
      </c>
    </row>
    <row r="62" spans="1:26" ht="15.75" hidden="1" customHeight="1" x14ac:dyDescent="0.3">
      <c r="A62" s="3" t="s">
        <v>123</v>
      </c>
      <c r="C62" s="2">
        <f t="shared" ref="C62:D62" si="3">0.8*$C$37+0.65*$C$35+13950</f>
        <v>34373</v>
      </c>
      <c r="D62" s="2">
        <f t="shared" si="3"/>
        <v>34373</v>
      </c>
      <c r="F62" s="3" t="s">
        <v>119</v>
      </c>
      <c r="G62" s="83" t="s">
        <v>124</v>
      </c>
    </row>
    <row r="63" spans="1:26" ht="15.75" hidden="1" customHeight="1" x14ac:dyDescent="0.3">
      <c r="A63" s="3" t="s">
        <v>125</v>
      </c>
      <c r="C63" s="2"/>
      <c r="G63" s="81" t="s">
        <v>122</v>
      </c>
    </row>
    <row r="64" spans="1:26" ht="15.75" hidden="1" customHeight="1" x14ac:dyDescent="0.3">
      <c r="A64" s="3" t="s">
        <v>49</v>
      </c>
      <c r="C64" s="2">
        <v>25000</v>
      </c>
      <c r="D64" s="2">
        <v>25000</v>
      </c>
      <c r="E64" s="2"/>
      <c r="G64" s="83"/>
    </row>
    <row r="65" spans="1:7" ht="15.75" customHeight="1" x14ac:dyDescent="0.3">
      <c r="A65" s="3" t="s">
        <v>127</v>
      </c>
      <c r="C65" s="2"/>
      <c r="D65" s="34"/>
      <c r="F65" s="3" t="s">
        <v>119</v>
      </c>
      <c r="G65" s="83" t="s">
        <v>128</v>
      </c>
    </row>
    <row r="66" spans="1:7" ht="15.75" customHeight="1" x14ac:dyDescent="0.3">
      <c r="A66" s="3" t="s">
        <v>129</v>
      </c>
      <c r="C66" s="2">
        <f>10000+4700</f>
        <v>14700</v>
      </c>
      <c r="D66" s="2">
        <v>14700</v>
      </c>
      <c r="F66" s="3" t="s">
        <v>130</v>
      </c>
      <c r="G66" s="83" t="s">
        <v>131</v>
      </c>
    </row>
    <row r="67" spans="1:7" ht="15.75" customHeight="1" x14ac:dyDescent="0.3">
      <c r="A67" s="3" t="s">
        <v>132</v>
      </c>
      <c r="C67" s="2">
        <v>5000</v>
      </c>
      <c r="D67" s="2">
        <v>5000</v>
      </c>
      <c r="E67" s="2"/>
      <c r="F67" s="3" t="s">
        <v>133</v>
      </c>
    </row>
    <row r="68" spans="1:7" ht="15.75" customHeight="1" x14ac:dyDescent="0.3">
      <c r="A68" s="3" t="s">
        <v>134</v>
      </c>
      <c r="C68" s="2">
        <f>0.1*C16</f>
        <v>70650</v>
      </c>
      <c r="D68" s="2">
        <f>0.1*C16</f>
        <v>70650</v>
      </c>
      <c r="E68" s="2"/>
    </row>
    <row r="69" spans="1:7" ht="15.75" customHeight="1" x14ac:dyDescent="0.3">
      <c r="A69" s="3" t="s">
        <v>137</v>
      </c>
      <c r="C69" s="2"/>
      <c r="D69" s="2"/>
      <c r="E69" s="2"/>
    </row>
    <row r="70" spans="1:7" ht="15.75" customHeight="1" x14ac:dyDescent="0.3">
      <c r="A70" s="85" t="s">
        <v>136</v>
      </c>
      <c r="C70" s="2"/>
      <c r="D70" s="2"/>
      <c r="E70" s="2"/>
      <c r="F70" s="2"/>
    </row>
    <row r="71" spans="1:7" ht="15.75" customHeight="1" x14ac:dyDescent="0.3">
      <c r="A71" s="85" t="s">
        <v>138</v>
      </c>
      <c r="C71" s="2"/>
      <c r="D71" s="34"/>
    </row>
    <row r="72" spans="1:7" ht="15.75" customHeight="1" x14ac:dyDescent="0.3">
      <c r="C72" s="2"/>
      <c r="F72" s="2" t="s">
        <v>139</v>
      </c>
    </row>
    <row r="73" spans="1:7" ht="15.75" customHeight="1" x14ac:dyDescent="0.3">
      <c r="A73" s="85"/>
      <c r="B73" s="8"/>
      <c r="C73" s="9"/>
      <c r="D73" s="8"/>
    </row>
    <row r="74" spans="1:7" ht="15.75" customHeight="1" x14ac:dyDescent="0.3">
      <c r="A74" s="85"/>
      <c r="C74" s="2"/>
    </row>
    <row r="75" spans="1:7" ht="15.75" customHeight="1" x14ac:dyDescent="0.3">
      <c r="A75" s="86" t="s">
        <v>143</v>
      </c>
      <c r="B75" s="87"/>
      <c r="C75" s="89">
        <f t="shared" ref="C75:D75" si="4">SUM(C58:C74)-C62-C64</f>
        <v>320855</v>
      </c>
      <c r="D75" s="90">
        <f t="shared" si="4"/>
        <v>462155</v>
      </c>
      <c r="E75" s="2"/>
    </row>
    <row r="76" spans="1:7" ht="15.75" hidden="1" customHeight="1" x14ac:dyDescent="0.3">
      <c r="C76" s="2"/>
      <c r="D76" s="3" t="s">
        <v>151</v>
      </c>
    </row>
    <row r="77" spans="1:7" ht="15.75" customHeight="1" x14ac:dyDescent="0.3">
      <c r="C77" s="2"/>
      <c r="D77" s="2">
        <f>0.8*C16</f>
        <v>565200</v>
      </c>
    </row>
    <row r="78" spans="1:7" ht="15.75" customHeight="1" x14ac:dyDescent="0.3">
      <c r="C78" s="2"/>
    </row>
    <row r="79" spans="1:7" ht="15.75" customHeight="1" x14ac:dyDescent="0.3">
      <c r="C79" s="2"/>
      <c r="F79" s="3" t="s">
        <v>152</v>
      </c>
    </row>
    <row r="80" spans="1:7" ht="15.75" customHeight="1" x14ac:dyDescent="0.3">
      <c r="C80" s="2"/>
    </row>
    <row r="81" spans="1:4" ht="15.75" customHeight="1" x14ac:dyDescent="0.3">
      <c r="A81" s="91"/>
      <c r="C81" s="2"/>
    </row>
    <row r="82" spans="1:4" ht="48" customHeight="1" x14ac:dyDescent="0.3">
      <c r="C82" s="2"/>
      <c r="D82" s="9"/>
    </row>
    <row r="83" spans="1:4" ht="15.75" customHeight="1" x14ac:dyDescent="0.3">
      <c r="C83" s="2"/>
    </row>
    <row r="84" spans="1:4" ht="15.75" customHeight="1" x14ac:dyDescent="0.3">
      <c r="C84" s="2"/>
    </row>
    <row r="85" spans="1:4" ht="15.75" customHeight="1" x14ac:dyDescent="0.3">
      <c r="C85" s="2"/>
    </row>
    <row r="86" spans="1:4" ht="15.75" customHeight="1" x14ac:dyDescent="0.3">
      <c r="C86" s="2"/>
    </row>
    <row r="87" spans="1:4" ht="15.75" customHeight="1" x14ac:dyDescent="0.3">
      <c r="C87" s="2"/>
    </row>
    <row r="88" spans="1:4" ht="15.75" customHeight="1" x14ac:dyDescent="0.3">
      <c r="C88" s="2"/>
    </row>
    <row r="89" spans="1:4" ht="15.75" customHeight="1" x14ac:dyDescent="0.3">
      <c r="C89" s="2"/>
    </row>
    <row r="90" spans="1:4" ht="15.75" customHeight="1" x14ac:dyDescent="0.3">
      <c r="C90" s="2"/>
    </row>
    <row r="91" spans="1:4" ht="15.75" customHeight="1" x14ac:dyDescent="0.3">
      <c r="C91" s="2"/>
    </row>
    <row r="92" spans="1:4" ht="15.75" customHeight="1" x14ac:dyDescent="0.3">
      <c r="C92" s="2"/>
    </row>
    <row r="93" spans="1:4" ht="15.75" customHeight="1" x14ac:dyDescent="0.3">
      <c r="C93" s="2"/>
    </row>
    <row r="94" spans="1:4" ht="15.75" customHeight="1" x14ac:dyDescent="0.3">
      <c r="C94" s="2"/>
    </row>
    <row r="95" spans="1:4" ht="15.75" customHeight="1" x14ac:dyDescent="0.3">
      <c r="C95" s="2"/>
    </row>
    <row r="96" spans="1:4" ht="15.75" customHeight="1" x14ac:dyDescent="0.3">
      <c r="C96" s="2"/>
    </row>
    <row r="97" spans="3:3" ht="15.75" customHeight="1" x14ac:dyDescent="0.3">
      <c r="C97" s="2"/>
    </row>
    <row r="98" spans="3:3" ht="15.75" customHeight="1" x14ac:dyDescent="0.3">
      <c r="C98" s="2"/>
    </row>
    <row r="99" spans="3:3" ht="15.75" customHeight="1" x14ac:dyDescent="0.3">
      <c r="C99" s="2"/>
    </row>
    <row r="100" spans="3:3" ht="15.75" customHeight="1" x14ac:dyDescent="0.3">
      <c r="C100" s="2"/>
    </row>
    <row r="101" spans="3:3" ht="15.75" customHeight="1" x14ac:dyDescent="0.3">
      <c r="C101" s="2"/>
    </row>
    <row r="102" spans="3:3" ht="15.75" customHeight="1" x14ac:dyDescent="0.3">
      <c r="C102" s="2"/>
    </row>
    <row r="103" spans="3:3" ht="15.75" customHeight="1" x14ac:dyDescent="0.3">
      <c r="C103" s="2"/>
    </row>
    <row r="104" spans="3:3" ht="15.75" customHeight="1" x14ac:dyDescent="0.3">
      <c r="C104" s="2"/>
    </row>
    <row r="105" spans="3:3" ht="15.75" customHeight="1" x14ac:dyDescent="0.3">
      <c r="C105" s="2"/>
    </row>
    <row r="106" spans="3:3" ht="15.75" customHeight="1" x14ac:dyDescent="0.3">
      <c r="C106" s="2"/>
    </row>
    <row r="107" spans="3:3" ht="15.75" customHeight="1" x14ac:dyDescent="0.3">
      <c r="C107" s="2"/>
    </row>
    <row r="108" spans="3:3" ht="15.75" customHeight="1" x14ac:dyDescent="0.3">
      <c r="C108" s="2"/>
    </row>
    <row r="109" spans="3:3" ht="15.75" customHeight="1" x14ac:dyDescent="0.3">
      <c r="C109" s="2"/>
    </row>
    <row r="110" spans="3:3" ht="15.75" customHeight="1" x14ac:dyDescent="0.3">
      <c r="C110" s="2"/>
    </row>
    <row r="111" spans="3:3" ht="15.75" customHeight="1" x14ac:dyDescent="0.3">
      <c r="C111" s="2"/>
    </row>
    <row r="112" spans="3:3" ht="15.75" customHeight="1" x14ac:dyDescent="0.3">
      <c r="C112" s="2"/>
    </row>
    <row r="113" spans="3:3" ht="15.75" customHeight="1" x14ac:dyDescent="0.3">
      <c r="C113" s="2"/>
    </row>
    <row r="114" spans="3:3" ht="15.75" customHeight="1" x14ac:dyDescent="0.3">
      <c r="C114" s="2"/>
    </row>
    <row r="115" spans="3:3" ht="15.75" customHeight="1" x14ac:dyDescent="0.3">
      <c r="C115" s="2"/>
    </row>
    <row r="116" spans="3:3" ht="15.75" customHeight="1" x14ac:dyDescent="0.3">
      <c r="C116" s="2"/>
    </row>
    <row r="117" spans="3:3" ht="15.75" customHeight="1" x14ac:dyDescent="0.3">
      <c r="C117" s="2"/>
    </row>
    <row r="118" spans="3:3" ht="15.75" customHeight="1" x14ac:dyDescent="0.3">
      <c r="C118" s="2"/>
    </row>
    <row r="119" spans="3:3" ht="15.75" customHeight="1" x14ac:dyDescent="0.3">
      <c r="C119" s="2"/>
    </row>
    <row r="120" spans="3:3" ht="15.75" customHeight="1" x14ac:dyDescent="0.3">
      <c r="C120" s="2"/>
    </row>
    <row r="121" spans="3:3" ht="15.75" customHeight="1" x14ac:dyDescent="0.3">
      <c r="C121" s="2"/>
    </row>
    <row r="122" spans="3:3" ht="15.75" customHeight="1" x14ac:dyDescent="0.3">
      <c r="C122" s="2"/>
    </row>
    <row r="123" spans="3:3" ht="15.75" customHeight="1" x14ac:dyDescent="0.3">
      <c r="C123" s="2"/>
    </row>
    <row r="124" spans="3:3" ht="15.75" customHeight="1" x14ac:dyDescent="0.3">
      <c r="C124" s="2"/>
    </row>
    <row r="125" spans="3:3" ht="15.75" customHeight="1" x14ac:dyDescent="0.3">
      <c r="C125" s="2"/>
    </row>
    <row r="126" spans="3:3" ht="15.75" customHeight="1" x14ac:dyDescent="0.3">
      <c r="C126" s="2"/>
    </row>
    <row r="127" spans="3:3" ht="15.75" customHeight="1" x14ac:dyDescent="0.3">
      <c r="C127" s="2"/>
    </row>
    <row r="128" spans="3:3" ht="15.75" customHeight="1" x14ac:dyDescent="0.3">
      <c r="C128" s="2"/>
    </row>
    <row r="129" spans="3:3" ht="15.75" customHeight="1" x14ac:dyDescent="0.3">
      <c r="C129" s="2"/>
    </row>
    <row r="130" spans="3:3" ht="15.75" customHeight="1" x14ac:dyDescent="0.3">
      <c r="C130" s="2"/>
    </row>
    <row r="131" spans="3:3" ht="15.75" customHeight="1" x14ac:dyDescent="0.3">
      <c r="C131" s="2"/>
    </row>
    <row r="132" spans="3:3" ht="15.75" customHeight="1" x14ac:dyDescent="0.3">
      <c r="C132" s="2"/>
    </row>
    <row r="133" spans="3:3" ht="15.75" customHeight="1" x14ac:dyDescent="0.3">
      <c r="C133" s="2"/>
    </row>
    <row r="134" spans="3:3" ht="15.75" customHeight="1" x14ac:dyDescent="0.3">
      <c r="C134" s="2"/>
    </row>
    <row r="135" spans="3:3" ht="15.75" customHeight="1" x14ac:dyDescent="0.3">
      <c r="C135" s="2"/>
    </row>
    <row r="136" spans="3:3" ht="15.75" customHeight="1" x14ac:dyDescent="0.3">
      <c r="C136" s="2"/>
    </row>
    <row r="137" spans="3:3" ht="15.75" customHeight="1" x14ac:dyDescent="0.3">
      <c r="C137" s="2"/>
    </row>
    <row r="138" spans="3:3" ht="15.75" customHeight="1" x14ac:dyDescent="0.3">
      <c r="C138" s="2"/>
    </row>
    <row r="139" spans="3:3" ht="15.75" customHeight="1" x14ac:dyDescent="0.3">
      <c r="C139" s="2"/>
    </row>
    <row r="140" spans="3:3" ht="15.75" customHeight="1" x14ac:dyDescent="0.3">
      <c r="C140" s="2"/>
    </row>
    <row r="141" spans="3:3" ht="15.75" customHeight="1" x14ac:dyDescent="0.3">
      <c r="C141" s="2"/>
    </row>
    <row r="142" spans="3:3" ht="15.75" customHeight="1" x14ac:dyDescent="0.3">
      <c r="C142" s="2"/>
    </row>
    <row r="143" spans="3:3" ht="15.75" customHeight="1" x14ac:dyDescent="0.3">
      <c r="C143" s="2"/>
    </row>
    <row r="144" spans="3:3" ht="15.75" customHeight="1" x14ac:dyDescent="0.3">
      <c r="C144" s="2"/>
    </row>
    <row r="145" spans="3:3" ht="15.75" customHeight="1" x14ac:dyDescent="0.3">
      <c r="C145" s="2"/>
    </row>
    <row r="146" spans="3:3" ht="15.75" customHeight="1" x14ac:dyDescent="0.3">
      <c r="C146" s="2"/>
    </row>
    <row r="147" spans="3:3" ht="15.75" customHeight="1" x14ac:dyDescent="0.3">
      <c r="C147" s="2"/>
    </row>
    <row r="148" spans="3:3" ht="15.75" customHeight="1" x14ac:dyDescent="0.3">
      <c r="C148" s="2"/>
    </row>
    <row r="149" spans="3:3" ht="15.75" customHeight="1" x14ac:dyDescent="0.3">
      <c r="C149" s="2"/>
    </row>
    <row r="150" spans="3:3" ht="15.75" customHeight="1" x14ac:dyDescent="0.3">
      <c r="C150" s="2"/>
    </row>
    <row r="151" spans="3:3" ht="15.75" customHeight="1" x14ac:dyDescent="0.3">
      <c r="C151" s="2"/>
    </row>
    <row r="152" spans="3:3" ht="15.75" customHeight="1" x14ac:dyDescent="0.3">
      <c r="C152" s="2"/>
    </row>
    <row r="153" spans="3:3" ht="15.75" customHeight="1" x14ac:dyDescent="0.3">
      <c r="C153" s="2"/>
    </row>
    <row r="154" spans="3:3" ht="15.75" customHeight="1" x14ac:dyDescent="0.3">
      <c r="C154" s="2"/>
    </row>
    <row r="155" spans="3:3" ht="15.75" customHeight="1" x14ac:dyDescent="0.3">
      <c r="C155" s="2"/>
    </row>
    <row r="156" spans="3:3" ht="15.75" customHeight="1" x14ac:dyDescent="0.3">
      <c r="C156" s="2"/>
    </row>
    <row r="157" spans="3:3" ht="15.75" customHeight="1" x14ac:dyDescent="0.3">
      <c r="C157" s="2"/>
    </row>
    <row r="158" spans="3:3" ht="15.75" customHeight="1" x14ac:dyDescent="0.3">
      <c r="C158" s="2"/>
    </row>
    <row r="159" spans="3:3" ht="15.75" customHeight="1" x14ac:dyDescent="0.3">
      <c r="C159" s="2"/>
    </row>
    <row r="160" spans="3:3" ht="15.75" customHeight="1" x14ac:dyDescent="0.3">
      <c r="C160" s="2"/>
    </row>
    <row r="161" spans="3:3" ht="15.75" customHeight="1" x14ac:dyDescent="0.3">
      <c r="C161" s="2"/>
    </row>
    <row r="162" spans="3:3" ht="15.75" customHeight="1" x14ac:dyDescent="0.3">
      <c r="C162" s="2"/>
    </row>
    <row r="163" spans="3:3" ht="15.75" customHeight="1" x14ac:dyDescent="0.3">
      <c r="C163" s="2"/>
    </row>
    <row r="164" spans="3:3" ht="15.75" customHeight="1" x14ac:dyDescent="0.3">
      <c r="C164" s="2"/>
    </row>
    <row r="165" spans="3:3" ht="15.75" customHeight="1" x14ac:dyDescent="0.3">
      <c r="C165" s="2"/>
    </row>
    <row r="166" spans="3:3" ht="15.75" customHeight="1" x14ac:dyDescent="0.3">
      <c r="C166" s="2"/>
    </row>
    <row r="167" spans="3:3" ht="15.75" customHeight="1" x14ac:dyDescent="0.3">
      <c r="C167" s="2"/>
    </row>
    <row r="168" spans="3:3" ht="15.75" customHeight="1" x14ac:dyDescent="0.3">
      <c r="C168" s="2"/>
    </row>
    <row r="169" spans="3:3" ht="15.75" customHeight="1" x14ac:dyDescent="0.3">
      <c r="C169" s="2"/>
    </row>
    <row r="170" spans="3:3" ht="15.75" customHeight="1" x14ac:dyDescent="0.3">
      <c r="C170" s="2"/>
    </row>
    <row r="171" spans="3:3" ht="15.75" customHeight="1" x14ac:dyDescent="0.3">
      <c r="C171" s="2"/>
    </row>
    <row r="172" spans="3:3" ht="15.75" customHeight="1" x14ac:dyDescent="0.3">
      <c r="C172" s="2"/>
    </row>
    <row r="173" spans="3:3" ht="15.75" customHeight="1" x14ac:dyDescent="0.3">
      <c r="C173" s="2"/>
    </row>
    <row r="174" spans="3:3" ht="15.75" customHeight="1" x14ac:dyDescent="0.3">
      <c r="C174" s="2"/>
    </row>
    <row r="175" spans="3:3" ht="15.75" customHeight="1" x14ac:dyDescent="0.3">
      <c r="C175" s="2"/>
    </row>
    <row r="176" spans="3:3" ht="15.75" customHeight="1" x14ac:dyDescent="0.3">
      <c r="C176" s="2"/>
    </row>
    <row r="177" spans="3:3" ht="15.75" customHeight="1" x14ac:dyDescent="0.3">
      <c r="C177" s="2"/>
    </row>
    <row r="178" spans="3:3" ht="15.75" customHeight="1" x14ac:dyDescent="0.3">
      <c r="C178" s="2"/>
    </row>
    <row r="179" spans="3:3" ht="15.75" customHeight="1" x14ac:dyDescent="0.3">
      <c r="C179" s="2"/>
    </row>
    <row r="180" spans="3:3" ht="15.75" customHeight="1" x14ac:dyDescent="0.3">
      <c r="C180" s="2"/>
    </row>
    <row r="181" spans="3:3" ht="15.75" customHeight="1" x14ac:dyDescent="0.3">
      <c r="C181" s="2"/>
    </row>
    <row r="182" spans="3:3" ht="15.75" customHeight="1" x14ac:dyDescent="0.3">
      <c r="C182" s="2"/>
    </row>
    <row r="183" spans="3:3" ht="15.75" customHeight="1" x14ac:dyDescent="0.3">
      <c r="C183" s="2"/>
    </row>
    <row r="184" spans="3:3" ht="15.75" customHeight="1" x14ac:dyDescent="0.3">
      <c r="C184" s="2"/>
    </row>
    <row r="185" spans="3:3" ht="15.75" customHeight="1" x14ac:dyDescent="0.3">
      <c r="C185" s="2"/>
    </row>
    <row r="186" spans="3:3" ht="15.75" customHeight="1" x14ac:dyDescent="0.3">
      <c r="C186" s="2"/>
    </row>
    <row r="187" spans="3:3" ht="15.75" customHeight="1" x14ac:dyDescent="0.3">
      <c r="C187" s="2"/>
    </row>
    <row r="188" spans="3:3" ht="15.75" customHeight="1" x14ac:dyDescent="0.3">
      <c r="C188" s="2"/>
    </row>
    <row r="189" spans="3:3" ht="15.75" customHeight="1" x14ac:dyDescent="0.3">
      <c r="C189" s="2"/>
    </row>
    <row r="190" spans="3:3" ht="15.75" customHeight="1" x14ac:dyDescent="0.3">
      <c r="C190" s="2"/>
    </row>
    <row r="191" spans="3:3" ht="15.75" customHeight="1" x14ac:dyDescent="0.3">
      <c r="C191" s="2"/>
    </row>
    <row r="192" spans="3:3" ht="15.75" customHeight="1" x14ac:dyDescent="0.3">
      <c r="C192" s="2"/>
    </row>
    <row r="193" spans="3:3" ht="15.75" customHeight="1" x14ac:dyDescent="0.3">
      <c r="C193" s="2"/>
    </row>
    <row r="194" spans="3:3" ht="15.75" customHeight="1" x14ac:dyDescent="0.3">
      <c r="C194" s="2"/>
    </row>
    <row r="195" spans="3:3" ht="15.75" customHeight="1" x14ac:dyDescent="0.3">
      <c r="C195" s="2"/>
    </row>
    <row r="196" spans="3:3" ht="15.75" customHeight="1" x14ac:dyDescent="0.3">
      <c r="C196" s="2"/>
    </row>
    <row r="197" spans="3:3" ht="15.75" customHeight="1" x14ac:dyDescent="0.3">
      <c r="C197" s="2"/>
    </row>
    <row r="198" spans="3:3" ht="15.75" customHeight="1" x14ac:dyDescent="0.3">
      <c r="C198" s="2"/>
    </row>
    <row r="199" spans="3:3" ht="15.75" customHeight="1" x14ac:dyDescent="0.3">
      <c r="C199" s="2"/>
    </row>
    <row r="200" spans="3:3" ht="15.75" customHeight="1" x14ac:dyDescent="0.3">
      <c r="C200" s="2"/>
    </row>
    <row r="201" spans="3:3" ht="15.75" customHeight="1" x14ac:dyDescent="0.3">
      <c r="C201" s="2"/>
    </row>
    <row r="202" spans="3:3" ht="15.75" customHeight="1" x14ac:dyDescent="0.3">
      <c r="C202" s="2"/>
    </row>
    <row r="203" spans="3:3" ht="15.75" customHeight="1" x14ac:dyDescent="0.3">
      <c r="C203" s="2"/>
    </row>
    <row r="204" spans="3:3" ht="15.75" customHeight="1" x14ac:dyDescent="0.3">
      <c r="C204" s="2"/>
    </row>
    <row r="205" spans="3:3" ht="15.75" customHeight="1" x14ac:dyDescent="0.3">
      <c r="C205" s="2"/>
    </row>
    <row r="206" spans="3:3" ht="15.75" customHeight="1" x14ac:dyDescent="0.3">
      <c r="C206" s="2"/>
    </row>
    <row r="207" spans="3:3" ht="15.75" customHeight="1" x14ac:dyDescent="0.3">
      <c r="C207" s="2"/>
    </row>
    <row r="208" spans="3:3" ht="15.75" customHeight="1" x14ac:dyDescent="0.3">
      <c r="C208" s="2"/>
    </row>
    <row r="209" spans="3:3" ht="15.75" customHeight="1" x14ac:dyDescent="0.3">
      <c r="C209" s="2"/>
    </row>
    <row r="210" spans="3:3" ht="15.75" customHeight="1" x14ac:dyDescent="0.3">
      <c r="C210" s="2"/>
    </row>
    <row r="211" spans="3:3" ht="15.75" customHeight="1" x14ac:dyDescent="0.3">
      <c r="C211" s="2"/>
    </row>
    <row r="212" spans="3:3" ht="15.75" customHeight="1" x14ac:dyDescent="0.3">
      <c r="C212" s="2"/>
    </row>
    <row r="213" spans="3:3" ht="15.75" customHeight="1" x14ac:dyDescent="0.3">
      <c r="C213" s="2"/>
    </row>
    <row r="214" spans="3:3" ht="15.75" customHeight="1" x14ac:dyDescent="0.3">
      <c r="C214" s="2"/>
    </row>
    <row r="215" spans="3:3" ht="15.75" customHeight="1" x14ac:dyDescent="0.3">
      <c r="C215" s="2"/>
    </row>
    <row r="216" spans="3:3" ht="15.75" customHeight="1" x14ac:dyDescent="0.3">
      <c r="C216" s="2"/>
    </row>
    <row r="217" spans="3:3" ht="15.75" customHeight="1" x14ac:dyDescent="0.3">
      <c r="C217" s="2"/>
    </row>
    <row r="218" spans="3:3" ht="15.75" customHeight="1" x14ac:dyDescent="0.3">
      <c r="C218" s="2"/>
    </row>
    <row r="219" spans="3:3" ht="15.75" customHeight="1" x14ac:dyDescent="0.3">
      <c r="C219" s="2"/>
    </row>
    <row r="220" spans="3:3" ht="15.75" customHeight="1" x14ac:dyDescent="0.3">
      <c r="C220" s="2"/>
    </row>
    <row r="221" spans="3:3" ht="15.75" customHeight="1" x14ac:dyDescent="0.3">
      <c r="C221" s="2"/>
    </row>
    <row r="222" spans="3:3" ht="15.75" customHeight="1" x14ac:dyDescent="0.3">
      <c r="C222" s="2"/>
    </row>
    <row r="223" spans="3:3" ht="15.75" customHeight="1" x14ac:dyDescent="0.3">
      <c r="C223" s="2"/>
    </row>
    <row r="224" spans="3:3" ht="15.75" customHeight="1" x14ac:dyDescent="0.3">
      <c r="C224" s="2"/>
    </row>
    <row r="225" spans="3:3" ht="15.75" customHeight="1" x14ac:dyDescent="0.3">
      <c r="C225" s="2"/>
    </row>
    <row r="226" spans="3:3" ht="15.75" customHeight="1" x14ac:dyDescent="0.3">
      <c r="C226" s="2"/>
    </row>
    <row r="227" spans="3:3" ht="15.75" customHeight="1" x14ac:dyDescent="0.3">
      <c r="C227" s="2"/>
    </row>
    <row r="228" spans="3:3" ht="15.75" customHeight="1" x14ac:dyDescent="0.3">
      <c r="C228" s="2"/>
    </row>
    <row r="229" spans="3:3" ht="15.75" customHeight="1" x14ac:dyDescent="0.3">
      <c r="C229" s="2"/>
    </row>
    <row r="230" spans="3:3" ht="15.75" customHeight="1" x14ac:dyDescent="0.3">
      <c r="C230" s="2"/>
    </row>
    <row r="231" spans="3:3" ht="15.75" customHeight="1" x14ac:dyDescent="0.3">
      <c r="C231" s="2"/>
    </row>
    <row r="232" spans="3:3" ht="15.75" customHeight="1" x14ac:dyDescent="0.3">
      <c r="C232" s="2"/>
    </row>
    <row r="233" spans="3:3" ht="15.75" customHeight="1" x14ac:dyDescent="0.3">
      <c r="C233" s="2"/>
    </row>
    <row r="234" spans="3:3" ht="15.75" customHeight="1" x14ac:dyDescent="0.3">
      <c r="C234" s="2"/>
    </row>
    <row r="235" spans="3:3" ht="15.75" customHeight="1" x14ac:dyDescent="0.3">
      <c r="C235" s="2"/>
    </row>
    <row r="236" spans="3:3" ht="15.75" customHeight="1" x14ac:dyDescent="0.3">
      <c r="C236" s="2"/>
    </row>
    <row r="237" spans="3:3" ht="15.75" customHeight="1" x14ac:dyDescent="0.3">
      <c r="C237" s="2"/>
    </row>
    <row r="238" spans="3:3" ht="15.75" customHeight="1" x14ac:dyDescent="0.3">
      <c r="C238" s="2"/>
    </row>
    <row r="239" spans="3:3" ht="15.75" customHeight="1" x14ac:dyDescent="0.3">
      <c r="C239" s="2"/>
    </row>
    <row r="240" spans="3:3" ht="15.75" customHeight="1" x14ac:dyDescent="0.3">
      <c r="C240" s="2"/>
    </row>
    <row r="241" spans="3:3" ht="15.75" customHeight="1" x14ac:dyDescent="0.3">
      <c r="C241" s="2"/>
    </row>
    <row r="242" spans="3:3" ht="15.75" customHeight="1" x14ac:dyDescent="0.3">
      <c r="C242" s="2"/>
    </row>
    <row r="243" spans="3:3" ht="15.75" customHeight="1" x14ac:dyDescent="0.3">
      <c r="C243" s="2"/>
    </row>
    <row r="244" spans="3:3" ht="15.75" customHeight="1" x14ac:dyDescent="0.3">
      <c r="C244" s="2"/>
    </row>
    <row r="245" spans="3:3" ht="15.75" customHeight="1" x14ac:dyDescent="0.3">
      <c r="C245" s="2"/>
    </row>
    <row r="246" spans="3:3" ht="15.75" customHeight="1" x14ac:dyDescent="0.3">
      <c r="C246" s="2"/>
    </row>
    <row r="247" spans="3:3" ht="15.75" customHeight="1" x14ac:dyDescent="0.3">
      <c r="C247" s="2"/>
    </row>
    <row r="248" spans="3:3" ht="15.75" customHeight="1" x14ac:dyDescent="0.3">
      <c r="C248" s="2"/>
    </row>
    <row r="249" spans="3:3" ht="15.75" customHeight="1" x14ac:dyDescent="0.3">
      <c r="C249" s="2"/>
    </row>
    <row r="250" spans="3:3" ht="15.75" customHeight="1" x14ac:dyDescent="0.3">
      <c r="C250" s="2"/>
    </row>
    <row r="251" spans="3:3" ht="15.75" customHeight="1" x14ac:dyDescent="0.3">
      <c r="C251" s="2"/>
    </row>
    <row r="252" spans="3:3" ht="15.75" customHeight="1" x14ac:dyDescent="0.3">
      <c r="C252" s="2"/>
    </row>
    <row r="253" spans="3:3" ht="15.75" customHeight="1" x14ac:dyDescent="0.3">
      <c r="C253" s="2"/>
    </row>
    <row r="254" spans="3:3" ht="15.75" customHeight="1" x14ac:dyDescent="0.3">
      <c r="C254" s="2"/>
    </row>
    <row r="255" spans="3:3" ht="15.75" customHeight="1" x14ac:dyDescent="0.3">
      <c r="C255" s="2"/>
    </row>
    <row r="256" spans="3:3" ht="15.75" customHeight="1" x14ac:dyDescent="0.3">
      <c r="C256" s="2"/>
    </row>
    <row r="257" spans="3:3" ht="15.75" customHeight="1" x14ac:dyDescent="0.3">
      <c r="C257" s="2"/>
    </row>
    <row r="258" spans="3:3" ht="15.75" customHeight="1" x14ac:dyDescent="0.3">
      <c r="C258" s="2"/>
    </row>
    <row r="259" spans="3:3" ht="15.75" customHeight="1" x14ac:dyDescent="0.3">
      <c r="C259" s="2"/>
    </row>
    <row r="260" spans="3:3" ht="15.75" customHeight="1" x14ac:dyDescent="0.3">
      <c r="C260" s="2"/>
    </row>
    <row r="261" spans="3:3" ht="15.75" customHeight="1" x14ac:dyDescent="0.3">
      <c r="C261" s="2"/>
    </row>
    <row r="262" spans="3:3" ht="15.75" customHeight="1" x14ac:dyDescent="0.3">
      <c r="C262" s="2"/>
    </row>
    <row r="263" spans="3:3" ht="15.75" customHeight="1" x14ac:dyDescent="0.3">
      <c r="C263" s="2"/>
    </row>
    <row r="264" spans="3:3" ht="15.75" customHeight="1" x14ac:dyDescent="0.3">
      <c r="C264" s="2"/>
    </row>
    <row r="265" spans="3:3" ht="15.75" customHeight="1" x14ac:dyDescent="0.3">
      <c r="C265" s="2"/>
    </row>
    <row r="266" spans="3:3" ht="15.75" customHeight="1" x14ac:dyDescent="0.3">
      <c r="C266" s="2"/>
    </row>
    <row r="267" spans="3:3" ht="15.75" customHeight="1" x14ac:dyDescent="0.3">
      <c r="C267" s="2"/>
    </row>
    <row r="268" spans="3:3" ht="15.75" customHeight="1" x14ac:dyDescent="0.3">
      <c r="C268" s="2"/>
    </row>
    <row r="269" spans="3:3" ht="15.75" customHeight="1" x14ac:dyDescent="0.3">
      <c r="C269" s="2"/>
    </row>
    <row r="270" spans="3:3" ht="15.75" customHeight="1" x14ac:dyDescent="0.3">
      <c r="C270" s="2"/>
    </row>
    <row r="271" spans="3:3" ht="15.75" customHeight="1" x14ac:dyDescent="0.3">
      <c r="C271" s="2"/>
    </row>
    <row r="272" spans="3:3" ht="15.75" customHeight="1" x14ac:dyDescent="0.3">
      <c r="C272" s="2"/>
    </row>
    <row r="273" spans="3:3" ht="15.75" customHeight="1" x14ac:dyDescent="0.3">
      <c r="C273" s="2"/>
    </row>
    <row r="274" spans="3:3" ht="15.75" customHeight="1" x14ac:dyDescent="0.3">
      <c r="C274" s="2"/>
    </row>
    <row r="275" spans="3:3" ht="15.75" customHeight="1" x14ac:dyDescent="0.3">
      <c r="C275" s="2"/>
    </row>
    <row r="276" spans="3:3" ht="15.75" customHeight="1" x14ac:dyDescent="0.3">
      <c r="C276" s="2"/>
    </row>
    <row r="277" spans="3:3" ht="15.75" customHeight="1" x14ac:dyDescent="0.3">
      <c r="C277" s="2"/>
    </row>
    <row r="278" spans="3:3" ht="15.75" customHeight="1" x14ac:dyDescent="0.3">
      <c r="C278" s="2"/>
    </row>
    <row r="279" spans="3:3" ht="15.75" customHeight="1" x14ac:dyDescent="0.3">
      <c r="C279" s="2"/>
    </row>
    <row r="280" spans="3:3" ht="15.75" customHeight="1" x14ac:dyDescent="0.3">
      <c r="C280" s="2"/>
    </row>
    <row r="281" spans="3:3" ht="15.75" customHeight="1" x14ac:dyDescent="0.3">
      <c r="C281" s="2"/>
    </row>
    <row r="282" spans="3:3" ht="15.75" customHeight="1" x14ac:dyDescent="0.3">
      <c r="C282" s="2"/>
    </row>
    <row r="283" spans="3:3" ht="15.75" customHeight="1" x14ac:dyDescent="0.3">
      <c r="C283" s="2"/>
    </row>
    <row r="284" spans="3:3" ht="15.75" customHeight="1" x14ac:dyDescent="0.3">
      <c r="C284" s="2"/>
    </row>
    <row r="285" spans="3:3" ht="15.75" customHeight="1" x14ac:dyDescent="0.3">
      <c r="C285" s="2"/>
    </row>
    <row r="286" spans="3:3" ht="15.75" customHeight="1" x14ac:dyDescent="0.3">
      <c r="C286" s="2"/>
    </row>
    <row r="287" spans="3:3" ht="15.75" customHeight="1" x14ac:dyDescent="0.3">
      <c r="C287" s="2"/>
    </row>
    <row r="288" spans="3:3" ht="15.75" customHeight="1" x14ac:dyDescent="0.3">
      <c r="C288" s="2"/>
    </row>
    <row r="289" spans="3:3" ht="15.75" customHeight="1" x14ac:dyDescent="0.3">
      <c r="C289" s="2"/>
    </row>
    <row r="290" spans="3:3" ht="15.75" customHeight="1" x14ac:dyDescent="0.3">
      <c r="C290" s="2"/>
    </row>
    <row r="291" spans="3:3" ht="15.75" customHeight="1" x14ac:dyDescent="0.3">
      <c r="C291" s="2"/>
    </row>
    <row r="292" spans="3:3" ht="15.75" customHeight="1" x14ac:dyDescent="0.3">
      <c r="C292" s="2"/>
    </row>
    <row r="293" spans="3:3" ht="15.75" customHeight="1" x14ac:dyDescent="0.3">
      <c r="C293" s="2"/>
    </row>
    <row r="294" spans="3:3" ht="15.75" customHeight="1" x14ac:dyDescent="0.3">
      <c r="C294" s="2"/>
    </row>
    <row r="295" spans="3:3" ht="15.75" customHeight="1" x14ac:dyDescent="0.3">
      <c r="C295" s="2"/>
    </row>
    <row r="296" spans="3:3" ht="15.75" customHeight="1" x14ac:dyDescent="0.3">
      <c r="C296" s="2"/>
    </row>
    <row r="297" spans="3:3" ht="15.75" customHeight="1" x14ac:dyDescent="0.3">
      <c r="C297" s="2"/>
    </row>
    <row r="298" spans="3:3" ht="15.75" customHeight="1" x14ac:dyDescent="0.3">
      <c r="C298" s="2"/>
    </row>
    <row r="299" spans="3:3" ht="15.75" customHeight="1" x14ac:dyDescent="0.3">
      <c r="C299" s="2"/>
    </row>
    <row r="300" spans="3:3" ht="15.75" customHeight="1" x14ac:dyDescent="0.3">
      <c r="C300" s="2"/>
    </row>
    <row r="301" spans="3:3" ht="15.75" customHeight="1" x14ac:dyDescent="0.3">
      <c r="C301" s="2"/>
    </row>
    <row r="302" spans="3:3" ht="15.75" customHeight="1" x14ac:dyDescent="0.3">
      <c r="C302" s="2"/>
    </row>
    <row r="303" spans="3:3" ht="15.75" customHeight="1" x14ac:dyDescent="0.3">
      <c r="C303" s="2"/>
    </row>
    <row r="304" spans="3:3" ht="15.75" customHeight="1" x14ac:dyDescent="0.3">
      <c r="C304" s="2"/>
    </row>
    <row r="305" spans="3:3" ht="15.75" customHeight="1" x14ac:dyDescent="0.3">
      <c r="C305" s="2"/>
    </row>
    <row r="306" spans="3:3" ht="15.75" customHeight="1" x14ac:dyDescent="0.3">
      <c r="C306" s="2"/>
    </row>
    <row r="307" spans="3:3" ht="15.75" customHeight="1" x14ac:dyDescent="0.3">
      <c r="C307" s="2"/>
    </row>
    <row r="308" spans="3:3" ht="15.75" customHeight="1" x14ac:dyDescent="0.3">
      <c r="C308" s="2"/>
    </row>
    <row r="309" spans="3:3" ht="15.75" customHeight="1" x14ac:dyDescent="0.3">
      <c r="C309" s="2"/>
    </row>
    <row r="310" spans="3:3" ht="15.75" customHeight="1" x14ac:dyDescent="0.3">
      <c r="C310" s="2"/>
    </row>
    <row r="311" spans="3:3" ht="15.75" customHeight="1" x14ac:dyDescent="0.3">
      <c r="C311" s="2"/>
    </row>
    <row r="312" spans="3:3" ht="15.75" customHeight="1" x14ac:dyDescent="0.3">
      <c r="C312" s="2"/>
    </row>
    <row r="313" spans="3:3" ht="15.75" customHeight="1" x14ac:dyDescent="0.3">
      <c r="C313" s="2"/>
    </row>
    <row r="314" spans="3:3" ht="15.75" customHeight="1" x14ac:dyDescent="0.3">
      <c r="C314" s="2"/>
    </row>
    <row r="315" spans="3:3" ht="15.75" customHeight="1" x14ac:dyDescent="0.3">
      <c r="C315" s="2"/>
    </row>
    <row r="316" spans="3:3" ht="15.75" customHeight="1" x14ac:dyDescent="0.3">
      <c r="C316" s="2"/>
    </row>
    <row r="317" spans="3:3" ht="15.75" customHeight="1" x14ac:dyDescent="0.3">
      <c r="C317" s="2"/>
    </row>
    <row r="318" spans="3:3" ht="15.75" customHeight="1" x14ac:dyDescent="0.3">
      <c r="C318" s="2"/>
    </row>
    <row r="319" spans="3:3" ht="15.75" customHeight="1" x14ac:dyDescent="0.3">
      <c r="C319" s="2"/>
    </row>
    <row r="320" spans="3:3" ht="15.75" customHeight="1" x14ac:dyDescent="0.3">
      <c r="C320" s="2"/>
    </row>
    <row r="321" spans="3:3" ht="15.75" customHeight="1" x14ac:dyDescent="0.3">
      <c r="C321" s="2"/>
    </row>
    <row r="322" spans="3:3" ht="15.75" customHeight="1" x14ac:dyDescent="0.3">
      <c r="C322" s="2"/>
    </row>
    <row r="323" spans="3:3" ht="15.75" customHeight="1" x14ac:dyDescent="0.3">
      <c r="C323" s="2"/>
    </row>
    <row r="324" spans="3:3" ht="15.75" customHeight="1" x14ac:dyDescent="0.3">
      <c r="C324" s="2"/>
    </row>
    <row r="325" spans="3:3" ht="15.75" customHeight="1" x14ac:dyDescent="0.3">
      <c r="C325" s="2"/>
    </row>
    <row r="326" spans="3:3" ht="15.75" customHeight="1" x14ac:dyDescent="0.3">
      <c r="C326" s="2"/>
    </row>
    <row r="327" spans="3:3" ht="15.75" customHeight="1" x14ac:dyDescent="0.3">
      <c r="C327" s="2"/>
    </row>
    <row r="328" spans="3:3" ht="15.75" customHeight="1" x14ac:dyDescent="0.3">
      <c r="C328" s="2"/>
    </row>
    <row r="329" spans="3:3" ht="15.75" customHeight="1" x14ac:dyDescent="0.3">
      <c r="C329" s="2"/>
    </row>
    <row r="330" spans="3:3" ht="15.75" customHeight="1" x14ac:dyDescent="0.3">
      <c r="C330" s="2"/>
    </row>
    <row r="331" spans="3:3" ht="15.75" customHeight="1" x14ac:dyDescent="0.3">
      <c r="C331" s="2"/>
    </row>
    <row r="332" spans="3:3" ht="15.75" customHeight="1" x14ac:dyDescent="0.3">
      <c r="C332" s="2"/>
    </row>
    <row r="333" spans="3:3" ht="15.75" customHeight="1" x14ac:dyDescent="0.3">
      <c r="C333" s="2"/>
    </row>
    <row r="334" spans="3:3" ht="15.75" customHeight="1" x14ac:dyDescent="0.3">
      <c r="C334" s="2"/>
    </row>
    <row r="335" spans="3:3" ht="15.75" customHeight="1" x14ac:dyDescent="0.3">
      <c r="C335" s="2"/>
    </row>
    <row r="336" spans="3:3" ht="15.75" customHeight="1" x14ac:dyDescent="0.3">
      <c r="C336" s="2"/>
    </row>
    <row r="337" spans="3:3" ht="15.75" customHeight="1" x14ac:dyDescent="0.3">
      <c r="C337" s="2"/>
    </row>
    <row r="338" spans="3:3" ht="15.75" customHeight="1" x14ac:dyDescent="0.3">
      <c r="C338" s="2"/>
    </row>
    <row r="339" spans="3:3" ht="15.75" customHeight="1" x14ac:dyDescent="0.3">
      <c r="C339" s="2"/>
    </row>
    <row r="340" spans="3:3" ht="15.75" customHeight="1" x14ac:dyDescent="0.3">
      <c r="C340" s="2"/>
    </row>
    <row r="341" spans="3:3" ht="15.75" customHeight="1" x14ac:dyDescent="0.3">
      <c r="C341" s="2"/>
    </row>
    <row r="342" spans="3:3" ht="15.75" customHeight="1" x14ac:dyDescent="0.3">
      <c r="C342" s="2"/>
    </row>
    <row r="343" spans="3:3" ht="15.75" customHeight="1" x14ac:dyDescent="0.3">
      <c r="C343" s="2"/>
    </row>
    <row r="344" spans="3:3" ht="15.75" customHeight="1" x14ac:dyDescent="0.3">
      <c r="C344" s="2"/>
    </row>
    <row r="345" spans="3:3" ht="15.75" customHeight="1" x14ac:dyDescent="0.3">
      <c r="C345" s="2"/>
    </row>
    <row r="346" spans="3:3" ht="15.75" customHeight="1" x14ac:dyDescent="0.3">
      <c r="C346" s="2"/>
    </row>
    <row r="347" spans="3:3" ht="15.75" customHeight="1" x14ac:dyDescent="0.3">
      <c r="C347" s="2"/>
    </row>
    <row r="348" spans="3:3" ht="15.75" customHeight="1" x14ac:dyDescent="0.3">
      <c r="C348" s="2"/>
    </row>
    <row r="349" spans="3:3" ht="15.75" customHeight="1" x14ac:dyDescent="0.3">
      <c r="C349" s="2"/>
    </row>
    <row r="350" spans="3:3" ht="15.75" customHeight="1" x14ac:dyDescent="0.3">
      <c r="C350" s="2"/>
    </row>
    <row r="351" spans="3:3" ht="15.75" customHeight="1" x14ac:dyDescent="0.3">
      <c r="C351" s="2"/>
    </row>
    <row r="352" spans="3:3" ht="15.75" customHeight="1" x14ac:dyDescent="0.3">
      <c r="C352" s="2"/>
    </row>
    <row r="353" spans="3:3" ht="15.75" customHeight="1" x14ac:dyDescent="0.3">
      <c r="C353" s="2"/>
    </row>
    <row r="354" spans="3:3" ht="15.75" customHeight="1" x14ac:dyDescent="0.3">
      <c r="C354" s="2"/>
    </row>
    <row r="355" spans="3:3" ht="15.75" customHeight="1" x14ac:dyDescent="0.3">
      <c r="C355" s="2"/>
    </row>
    <row r="356" spans="3:3" ht="15.75" customHeight="1" x14ac:dyDescent="0.3">
      <c r="C356" s="2"/>
    </row>
    <row r="357" spans="3:3" ht="15.75" customHeight="1" x14ac:dyDescent="0.3">
      <c r="C357" s="2"/>
    </row>
    <row r="358" spans="3:3" ht="15.75" customHeight="1" x14ac:dyDescent="0.3">
      <c r="C358" s="2"/>
    </row>
    <row r="359" spans="3:3" ht="15.75" customHeight="1" x14ac:dyDescent="0.3">
      <c r="C359" s="2"/>
    </row>
    <row r="360" spans="3:3" ht="15.75" customHeight="1" x14ac:dyDescent="0.3">
      <c r="C360" s="2"/>
    </row>
    <row r="361" spans="3:3" ht="15.75" customHeight="1" x14ac:dyDescent="0.3">
      <c r="C361" s="2"/>
    </row>
    <row r="362" spans="3:3" ht="15.75" customHeight="1" x14ac:dyDescent="0.3">
      <c r="C362" s="2"/>
    </row>
    <row r="363" spans="3:3" ht="15.75" customHeight="1" x14ac:dyDescent="0.3">
      <c r="C363" s="2"/>
    </row>
    <row r="364" spans="3:3" ht="15.75" customHeight="1" x14ac:dyDescent="0.3">
      <c r="C364" s="2"/>
    </row>
    <row r="365" spans="3:3" ht="15.75" customHeight="1" x14ac:dyDescent="0.3">
      <c r="C365" s="2"/>
    </row>
    <row r="366" spans="3:3" ht="15.75" customHeight="1" x14ac:dyDescent="0.3">
      <c r="C366" s="2"/>
    </row>
    <row r="367" spans="3:3" ht="15.75" customHeight="1" x14ac:dyDescent="0.3">
      <c r="C367" s="2"/>
    </row>
    <row r="368" spans="3:3" ht="15.75" customHeight="1" x14ac:dyDescent="0.3">
      <c r="C368" s="2"/>
    </row>
    <row r="369" spans="3:3" ht="15.75" customHeight="1" x14ac:dyDescent="0.3">
      <c r="C369" s="2"/>
    </row>
    <row r="370" spans="3:3" ht="15.75" customHeight="1" x14ac:dyDescent="0.3">
      <c r="C370" s="2"/>
    </row>
    <row r="371" spans="3:3" ht="15.75" customHeight="1" x14ac:dyDescent="0.3">
      <c r="C371" s="2"/>
    </row>
    <row r="372" spans="3:3" ht="15.75" customHeight="1" x14ac:dyDescent="0.3">
      <c r="C372" s="2"/>
    </row>
    <row r="373" spans="3:3" ht="15.75" customHeight="1" x14ac:dyDescent="0.3">
      <c r="C373" s="2"/>
    </row>
    <row r="374" spans="3:3" ht="15.75" customHeight="1" x14ac:dyDescent="0.3">
      <c r="C374" s="2"/>
    </row>
    <row r="375" spans="3:3" ht="15.75" customHeight="1" x14ac:dyDescent="0.3">
      <c r="C375" s="2"/>
    </row>
    <row r="376" spans="3:3" ht="15.75" customHeight="1" x14ac:dyDescent="0.3">
      <c r="C376" s="2"/>
    </row>
    <row r="377" spans="3:3" ht="15.75" customHeight="1" x14ac:dyDescent="0.3">
      <c r="C377" s="2"/>
    </row>
    <row r="378" spans="3:3" ht="15.75" customHeight="1" x14ac:dyDescent="0.3">
      <c r="C378" s="2"/>
    </row>
    <row r="379" spans="3:3" ht="15.75" customHeight="1" x14ac:dyDescent="0.3">
      <c r="C379" s="2"/>
    </row>
    <row r="380" spans="3:3" ht="15.75" customHeight="1" x14ac:dyDescent="0.3">
      <c r="C380" s="2"/>
    </row>
    <row r="381" spans="3:3" ht="15.75" customHeight="1" x14ac:dyDescent="0.3">
      <c r="C381" s="2"/>
    </row>
    <row r="382" spans="3:3" ht="15.75" customHeight="1" x14ac:dyDescent="0.3">
      <c r="C382" s="2"/>
    </row>
    <row r="383" spans="3:3" ht="15.75" customHeight="1" x14ac:dyDescent="0.3">
      <c r="C383" s="2"/>
    </row>
    <row r="384" spans="3:3" ht="15.75" customHeight="1" x14ac:dyDescent="0.3">
      <c r="C384" s="2"/>
    </row>
    <row r="385" spans="3:3" ht="15.75" customHeight="1" x14ac:dyDescent="0.3">
      <c r="C385" s="2"/>
    </row>
    <row r="386" spans="3:3" ht="15.75" customHeight="1" x14ac:dyDescent="0.3">
      <c r="C386" s="2"/>
    </row>
    <row r="387" spans="3:3" ht="15.75" customHeight="1" x14ac:dyDescent="0.3">
      <c r="C387" s="2"/>
    </row>
    <row r="388" spans="3:3" ht="15.75" customHeight="1" x14ac:dyDescent="0.3">
      <c r="C388" s="2"/>
    </row>
    <row r="389" spans="3:3" ht="15.75" customHeight="1" x14ac:dyDescent="0.3">
      <c r="C389" s="2"/>
    </row>
    <row r="390" spans="3:3" ht="15.75" customHeight="1" x14ac:dyDescent="0.3">
      <c r="C390" s="2"/>
    </row>
    <row r="391" spans="3:3" ht="15.75" customHeight="1" x14ac:dyDescent="0.3">
      <c r="C391" s="2"/>
    </row>
    <row r="392" spans="3:3" ht="15.75" customHeight="1" x14ac:dyDescent="0.3">
      <c r="C392" s="2"/>
    </row>
    <row r="393" spans="3:3" ht="15.75" customHeight="1" x14ac:dyDescent="0.3">
      <c r="C393" s="2"/>
    </row>
    <row r="394" spans="3:3" ht="15.75" customHeight="1" x14ac:dyDescent="0.3">
      <c r="C394" s="2"/>
    </row>
    <row r="395" spans="3:3" ht="15.75" customHeight="1" x14ac:dyDescent="0.3">
      <c r="C395" s="2"/>
    </row>
    <row r="396" spans="3:3" ht="15.75" customHeight="1" x14ac:dyDescent="0.3">
      <c r="C396" s="2"/>
    </row>
    <row r="397" spans="3:3" ht="15.75" customHeight="1" x14ac:dyDescent="0.3">
      <c r="C397" s="2"/>
    </row>
    <row r="398" spans="3:3" ht="15.75" customHeight="1" x14ac:dyDescent="0.3">
      <c r="C398" s="2"/>
    </row>
    <row r="399" spans="3:3" ht="15.75" customHeight="1" x14ac:dyDescent="0.3">
      <c r="C399" s="2"/>
    </row>
    <row r="400" spans="3:3" ht="15.75" customHeight="1" x14ac:dyDescent="0.3">
      <c r="C400" s="2"/>
    </row>
    <row r="401" spans="3:3" ht="15.75" customHeight="1" x14ac:dyDescent="0.3">
      <c r="C401" s="2"/>
    </row>
    <row r="402" spans="3:3" ht="15.75" customHeight="1" x14ac:dyDescent="0.3">
      <c r="C402" s="2"/>
    </row>
    <row r="403" spans="3:3" ht="15.75" customHeight="1" x14ac:dyDescent="0.3">
      <c r="C403" s="2"/>
    </row>
    <row r="404" spans="3:3" ht="15.75" customHeight="1" x14ac:dyDescent="0.3">
      <c r="C404" s="2"/>
    </row>
    <row r="405" spans="3:3" ht="15.75" customHeight="1" x14ac:dyDescent="0.3">
      <c r="C405" s="2"/>
    </row>
    <row r="406" spans="3:3" ht="15.75" customHeight="1" x14ac:dyDescent="0.3">
      <c r="C406" s="2"/>
    </row>
    <row r="407" spans="3:3" ht="15.75" customHeight="1" x14ac:dyDescent="0.3">
      <c r="C407" s="2"/>
    </row>
    <row r="408" spans="3:3" ht="15.75" customHeight="1" x14ac:dyDescent="0.3">
      <c r="C408" s="2"/>
    </row>
    <row r="409" spans="3:3" ht="15.75" customHeight="1" x14ac:dyDescent="0.3">
      <c r="C409" s="2"/>
    </row>
    <row r="410" spans="3:3" ht="15.75" customHeight="1" x14ac:dyDescent="0.3">
      <c r="C410" s="2"/>
    </row>
    <row r="411" spans="3:3" ht="15.75" customHeight="1" x14ac:dyDescent="0.3">
      <c r="C411" s="2"/>
    </row>
    <row r="412" spans="3:3" ht="15.75" customHeight="1" x14ac:dyDescent="0.3">
      <c r="C412" s="2"/>
    </row>
    <row r="413" spans="3:3" ht="15.75" customHeight="1" x14ac:dyDescent="0.3">
      <c r="C413" s="2"/>
    </row>
    <row r="414" spans="3:3" ht="15.75" customHeight="1" x14ac:dyDescent="0.3">
      <c r="C414" s="2"/>
    </row>
    <row r="415" spans="3:3" ht="15.75" customHeight="1" x14ac:dyDescent="0.3">
      <c r="C415" s="2"/>
    </row>
    <row r="416" spans="3:3" ht="15.75" customHeight="1" x14ac:dyDescent="0.3">
      <c r="C416" s="2"/>
    </row>
    <row r="417" spans="3:3" ht="15.75" customHeight="1" x14ac:dyDescent="0.3">
      <c r="C417" s="2"/>
    </row>
    <row r="418" spans="3:3" ht="15.75" customHeight="1" x14ac:dyDescent="0.3">
      <c r="C418" s="2"/>
    </row>
    <row r="419" spans="3:3" ht="15.75" customHeight="1" x14ac:dyDescent="0.3">
      <c r="C419" s="2"/>
    </row>
    <row r="420" spans="3:3" ht="15.75" customHeight="1" x14ac:dyDescent="0.3">
      <c r="C420" s="2"/>
    </row>
    <row r="421" spans="3:3" ht="15.75" customHeight="1" x14ac:dyDescent="0.3">
      <c r="C421" s="2"/>
    </row>
    <row r="422" spans="3:3" ht="15.75" customHeight="1" x14ac:dyDescent="0.3">
      <c r="C422" s="2"/>
    </row>
    <row r="423" spans="3:3" ht="15.75" customHeight="1" x14ac:dyDescent="0.3">
      <c r="C423" s="2"/>
    </row>
    <row r="424" spans="3:3" ht="15.75" customHeight="1" x14ac:dyDescent="0.3">
      <c r="C424" s="2"/>
    </row>
    <row r="425" spans="3:3" ht="15.75" customHeight="1" x14ac:dyDescent="0.3">
      <c r="C425" s="2"/>
    </row>
    <row r="426" spans="3:3" ht="15.75" customHeight="1" x14ac:dyDescent="0.3">
      <c r="C426" s="2"/>
    </row>
    <row r="427" spans="3:3" ht="15.75" customHeight="1" x14ac:dyDescent="0.3">
      <c r="C427" s="2"/>
    </row>
    <row r="428" spans="3:3" ht="15.75" customHeight="1" x14ac:dyDescent="0.3">
      <c r="C428" s="2"/>
    </row>
    <row r="429" spans="3:3" ht="15.75" customHeight="1" x14ac:dyDescent="0.3">
      <c r="C429" s="2"/>
    </row>
    <row r="430" spans="3:3" ht="15.75" customHeight="1" x14ac:dyDescent="0.3">
      <c r="C430" s="2"/>
    </row>
    <row r="431" spans="3:3" ht="15.75" customHeight="1" x14ac:dyDescent="0.3">
      <c r="C431" s="2"/>
    </row>
    <row r="432" spans="3:3" ht="15.75" customHeight="1" x14ac:dyDescent="0.3">
      <c r="C432" s="2"/>
    </row>
    <row r="433" spans="3:3" ht="15.75" customHeight="1" x14ac:dyDescent="0.3">
      <c r="C433" s="2"/>
    </row>
    <row r="434" spans="3:3" ht="15.75" customHeight="1" x14ac:dyDescent="0.3">
      <c r="C434" s="2"/>
    </row>
    <row r="435" spans="3:3" ht="15.75" customHeight="1" x14ac:dyDescent="0.3">
      <c r="C435" s="2"/>
    </row>
    <row r="436" spans="3:3" ht="15.75" customHeight="1" x14ac:dyDescent="0.3">
      <c r="C436" s="2"/>
    </row>
    <row r="437" spans="3:3" ht="15.75" customHeight="1" x14ac:dyDescent="0.3">
      <c r="C437" s="2"/>
    </row>
    <row r="438" spans="3:3" ht="15.75" customHeight="1" x14ac:dyDescent="0.3">
      <c r="C438" s="2"/>
    </row>
    <row r="439" spans="3:3" ht="15.75" customHeight="1" x14ac:dyDescent="0.3">
      <c r="C439" s="2"/>
    </row>
    <row r="440" spans="3:3" ht="15.75" customHeight="1" x14ac:dyDescent="0.3">
      <c r="C440" s="2"/>
    </row>
    <row r="441" spans="3:3" ht="15.75" customHeight="1" x14ac:dyDescent="0.3">
      <c r="C441" s="2"/>
    </row>
    <row r="442" spans="3:3" ht="15.75" customHeight="1" x14ac:dyDescent="0.3">
      <c r="C442" s="2"/>
    </row>
    <row r="443" spans="3:3" ht="15.75" customHeight="1" x14ac:dyDescent="0.3">
      <c r="C443" s="2"/>
    </row>
    <row r="444" spans="3:3" ht="15.75" customHeight="1" x14ac:dyDescent="0.3">
      <c r="C444" s="2"/>
    </row>
    <row r="445" spans="3:3" ht="15.75" customHeight="1" x14ac:dyDescent="0.3">
      <c r="C445" s="2"/>
    </row>
    <row r="446" spans="3:3" ht="15.75" customHeight="1" x14ac:dyDescent="0.3">
      <c r="C446" s="2"/>
    </row>
    <row r="447" spans="3:3" ht="15.75" customHeight="1" x14ac:dyDescent="0.3">
      <c r="C447" s="2"/>
    </row>
    <row r="448" spans="3:3" ht="15.75" customHeight="1" x14ac:dyDescent="0.3">
      <c r="C448" s="2"/>
    </row>
    <row r="449" spans="3:3" ht="15.75" customHeight="1" x14ac:dyDescent="0.3">
      <c r="C449" s="2"/>
    </row>
    <row r="450" spans="3:3" ht="15.75" customHeight="1" x14ac:dyDescent="0.3">
      <c r="C450" s="2"/>
    </row>
    <row r="451" spans="3:3" ht="15.75" customHeight="1" x14ac:dyDescent="0.3">
      <c r="C451" s="2"/>
    </row>
    <row r="452" spans="3:3" ht="15.75" customHeight="1" x14ac:dyDescent="0.3">
      <c r="C452" s="2"/>
    </row>
    <row r="453" spans="3:3" ht="15.75" customHeight="1" x14ac:dyDescent="0.3">
      <c r="C453" s="2"/>
    </row>
    <row r="454" spans="3:3" ht="15.75" customHeight="1" x14ac:dyDescent="0.3">
      <c r="C454" s="2"/>
    </row>
    <row r="455" spans="3:3" ht="15.75" customHeight="1" x14ac:dyDescent="0.3">
      <c r="C455" s="2"/>
    </row>
    <row r="456" spans="3:3" ht="15.75" customHeight="1" x14ac:dyDescent="0.3">
      <c r="C456" s="2"/>
    </row>
    <row r="457" spans="3:3" ht="15.75" customHeight="1" x14ac:dyDescent="0.3">
      <c r="C457" s="2"/>
    </row>
    <row r="458" spans="3:3" ht="15.75" customHeight="1" x14ac:dyDescent="0.3">
      <c r="C458" s="2"/>
    </row>
    <row r="459" spans="3:3" ht="15.75" customHeight="1" x14ac:dyDescent="0.3">
      <c r="C459" s="2"/>
    </row>
    <row r="460" spans="3:3" ht="15.75" customHeight="1" x14ac:dyDescent="0.3">
      <c r="C460" s="2"/>
    </row>
    <row r="461" spans="3:3" ht="15.75" customHeight="1" x14ac:dyDescent="0.3">
      <c r="C461" s="2"/>
    </row>
    <row r="462" spans="3:3" ht="15.75" customHeight="1" x14ac:dyDescent="0.3">
      <c r="C462" s="2"/>
    </row>
    <row r="463" spans="3:3" ht="15.75" customHeight="1" x14ac:dyDescent="0.3">
      <c r="C463" s="2"/>
    </row>
    <row r="464" spans="3:3" ht="15.75" customHeight="1" x14ac:dyDescent="0.3">
      <c r="C464" s="2"/>
    </row>
    <row r="465" spans="3:3" ht="15.75" customHeight="1" x14ac:dyDescent="0.3">
      <c r="C465" s="2"/>
    </row>
    <row r="466" spans="3:3" ht="15.75" customHeight="1" x14ac:dyDescent="0.3">
      <c r="C466" s="2"/>
    </row>
    <row r="467" spans="3:3" ht="15.75" customHeight="1" x14ac:dyDescent="0.3">
      <c r="C467" s="2"/>
    </row>
    <row r="468" spans="3:3" ht="15.75" customHeight="1" x14ac:dyDescent="0.3">
      <c r="C468" s="2"/>
    </row>
    <row r="469" spans="3:3" ht="15.75" customHeight="1" x14ac:dyDescent="0.3">
      <c r="C469" s="2"/>
    </row>
    <row r="470" spans="3:3" ht="15.75" customHeight="1" x14ac:dyDescent="0.3">
      <c r="C470" s="2"/>
    </row>
    <row r="471" spans="3:3" ht="15.75" customHeight="1" x14ac:dyDescent="0.3">
      <c r="C471" s="2"/>
    </row>
    <row r="472" spans="3:3" ht="15.75" customHeight="1" x14ac:dyDescent="0.3">
      <c r="C472" s="2"/>
    </row>
    <row r="473" spans="3:3" ht="15.75" customHeight="1" x14ac:dyDescent="0.3">
      <c r="C473" s="2"/>
    </row>
    <row r="474" spans="3:3" ht="15.75" customHeight="1" x14ac:dyDescent="0.3">
      <c r="C474" s="2"/>
    </row>
    <row r="475" spans="3:3" ht="15.75" customHeight="1" x14ac:dyDescent="0.3">
      <c r="C475" s="2"/>
    </row>
    <row r="476" spans="3:3" ht="15.75" customHeight="1" x14ac:dyDescent="0.3">
      <c r="C476" s="2"/>
    </row>
    <row r="477" spans="3:3" ht="15.75" customHeight="1" x14ac:dyDescent="0.3">
      <c r="C477" s="2"/>
    </row>
    <row r="478" spans="3:3" ht="15.75" customHeight="1" x14ac:dyDescent="0.3">
      <c r="C478" s="2"/>
    </row>
    <row r="479" spans="3:3" ht="15.75" customHeight="1" x14ac:dyDescent="0.3">
      <c r="C479" s="2"/>
    </row>
    <row r="480" spans="3:3" ht="15.75" customHeight="1" x14ac:dyDescent="0.3">
      <c r="C480" s="2"/>
    </row>
    <row r="481" spans="3:3" ht="15.75" customHeight="1" x14ac:dyDescent="0.3">
      <c r="C481" s="2"/>
    </row>
    <row r="482" spans="3:3" ht="15.75" customHeight="1" x14ac:dyDescent="0.3">
      <c r="C482" s="2"/>
    </row>
    <row r="483" spans="3:3" ht="15.75" customHeight="1" x14ac:dyDescent="0.3">
      <c r="C483" s="2"/>
    </row>
    <row r="484" spans="3:3" ht="15.75" customHeight="1" x14ac:dyDescent="0.3">
      <c r="C484" s="2"/>
    </row>
    <row r="485" spans="3:3" ht="15.75" customHeight="1" x14ac:dyDescent="0.3">
      <c r="C485" s="2"/>
    </row>
    <row r="486" spans="3:3" ht="15.75" customHeight="1" x14ac:dyDescent="0.3">
      <c r="C486" s="2"/>
    </row>
    <row r="487" spans="3:3" ht="15.75" customHeight="1" x14ac:dyDescent="0.3">
      <c r="C487" s="2"/>
    </row>
    <row r="488" spans="3:3" ht="15.75" customHeight="1" x14ac:dyDescent="0.3">
      <c r="C488" s="2"/>
    </row>
    <row r="489" spans="3:3" ht="15.75" customHeight="1" x14ac:dyDescent="0.3">
      <c r="C489" s="2"/>
    </row>
    <row r="490" spans="3:3" ht="15.75" customHeight="1" x14ac:dyDescent="0.3">
      <c r="C490" s="2"/>
    </row>
    <row r="491" spans="3:3" ht="15.75" customHeight="1" x14ac:dyDescent="0.3">
      <c r="C491" s="2"/>
    </row>
    <row r="492" spans="3:3" ht="15.75" customHeight="1" x14ac:dyDescent="0.3">
      <c r="C492" s="2"/>
    </row>
    <row r="493" spans="3:3" ht="15.75" customHeight="1" x14ac:dyDescent="0.3">
      <c r="C493" s="2"/>
    </row>
    <row r="494" spans="3:3" ht="15.75" customHeight="1" x14ac:dyDescent="0.3">
      <c r="C494" s="2"/>
    </row>
    <row r="495" spans="3:3" ht="15.75" customHeight="1" x14ac:dyDescent="0.3">
      <c r="C495" s="2"/>
    </row>
    <row r="496" spans="3:3" ht="15.75" customHeight="1" x14ac:dyDescent="0.3">
      <c r="C496" s="2"/>
    </row>
    <row r="497" spans="3:3" ht="15.75" customHeight="1" x14ac:dyDescent="0.3">
      <c r="C497" s="2"/>
    </row>
    <row r="498" spans="3:3" ht="15.75" customHeight="1" x14ac:dyDescent="0.3">
      <c r="C498" s="2"/>
    </row>
    <row r="499" spans="3:3" ht="15.75" customHeight="1" x14ac:dyDescent="0.3">
      <c r="C499" s="2"/>
    </row>
    <row r="500" spans="3:3" ht="15.75" customHeight="1" x14ac:dyDescent="0.3">
      <c r="C500" s="2"/>
    </row>
    <row r="501" spans="3:3" ht="15.75" customHeight="1" x14ac:dyDescent="0.3">
      <c r="C501" s="2"/>
    </row>
    <row r="502" spans="3:3" ht="15.75" customHeight="1" x14ac:dyDescent="0.3">
      <c r="C502" s="2"/>
    </row>
    <row r="503" spans="3:3" ht="15.75" customHeight="1" x14ac:dyDescent="0.3">
      <c r="C503" s="2"/>
    </row>
    <row r="504" spans="3:3" ht="15.75" customHeight="1" x14ac:dyDescent="0.3">
      <c r="C504" s="2"/>
    </row>
    <row r="505" spans="3:3" ht="15.75" customHeight="1" x14ac:dyDescent="0.3">
      <c r="C505" s="2"/>
    </row>
    <row r="506" spans="3:3" ht="15.75" customHeight="1" x14ac:dyDescent="0.3">
      <c r="C506" s="2"/>
    </row>
    <row r="507" spans="3:3" ht="15.75" customHeight="1" x14ac:dyDescent="0.3">
      <c r="C507" s="2"/>
    </row>
    <row r="508" spans="3:3" ht="15.75" customHeight="1" x14ac:dyDescent="0.3">
      <c r="C508" s="2"/>
    </row>
    <row r="509" spans="3:3" ht="15.75" customHeight="1" x14ac:dyDescent="0.3">
      <c r="C509" s="2"/>
    </row>
    <row r="510" spans="3:3" ht="15.75" customHeight="1" x14ac:dyDescent="0.3">
      <c r="C510" s="2"/>
    </row>
    <row r="511" spans="3:3" ht="15.75" customHeight="1" x14ac:dyDescent="0.3">
      <c r="C511" s="2"/>
    </row>
    <row r="512" spans="3:3" ht="15.75" customHeight="1" x14ac:dyDescent="0.3">
      <c r="C512" s="2"/>
    </row>
    <row r="513" spans="3:3" ht="15.75" customHeight="1" x14ac:dyDescent="0.3">
      <c r="C513" s="2"/>
    </row>
    <row r="514" spans="3:3" ht="15.75" customHeight="1" x14ac:dyDescent="0.3">
      <c r="C514" s="2"/>
    </row>
    <row r="515" spans="3:3" ht="15.75" customHeight="1" x14ac:dyDescent="0.3">
      <c r="C515" s="2"/>
    </row>
    <row r="516" spans="3:3" ht="15.75" customHeight="1" x14ac:dyDescent="0.3">
      <c r="C516" s="2"/>
    </row>
    <row r="517" spans="3:3" ht="15.75" customHeight="1" x14ac:dyDescent="0.3">
      <c r="C517" s="2"/>
    </row>
    <row r="518" spans="3:3" ht="15.75" customHeight="1" x14ac:dyDescent="0.3">
      <c r="C518" s="2"/>
    </row>
    <row r="519" spans="3:3" ht="15.75" customHeight="1" x14ac:dyDescent="0.3">
      <c r="C519" s="2"/>
    </row>
    <row r="520" spans="3:3" ht="15.75" customHeight="1" x14ac:dyDescent="0.3">
      <c r="C520" s="2"/>
    </row>
    <row r="521" spans="3:3" ht="15.75" customHeight="1" x14ac:dyDescent="0.3">
      <c r="C521" s="2"/>
    </row>
    <row r="522" spans="3:3" ht="15.75" customHeight="1" x14ac:dyDescent="0.3">
      <c r="C522" s="2"/>
    </row>
    <row r="523" spans="3:3" ht="15.75" customHeight="1" x14ac:dyDescent="0.3">
      <c r="C523" s="2"/>
    </row>
    <row r="524" spans="3:3" ht="15.75" customHeight="1" x14ac:dyDescent="0.3">
      <c r="C524" s="2"/>
    </row>
    <row r="525" spans="3:3" ht="15.75" customHeight="1" x14ac:dyDescent="0.3">
      <c r="C525" s="2"/>
    </row>
    <row r="526" spans="3:3" ht="15.75" customHeight="1" x14ac:dyDescent="0.3">
      <c r="C526" s="2"/>
    </row>
    <row r="527" spans="3:3" ht="15.75" customHeight="1" x14ac:dyDescent="0.3">
      <c r="C527" s="2"/>
    </row>
    <row r="528" spans="3:3" ht="15.75" customHeight="1" x14ac:dyDescent="0.3">
      <c r="C528" s="2"/>
    </row>
    <row r="529" spans="3:3" ht="15.75" customHeight="1" x14ac:dyDescent="0.3">
      <c r="C529" s="2"/>
    </row>
    <row r="530" spans="3:3" ht="15.75" customHeight="1" x14ac:dyDescent="0.3">
      <c r="C530" s="2"/>
    </row>
    <row r="531" spans="3:3" ht="15.75" customHeight="1" x14ac:dyDescent="0.3">
      <c r="C531" s="2"/>
    </row>
    <row r="532" spans="3:3" ht="15.75" customHeight="1" x14ac:dyDescent="0.3">
      <c r="C532" s="2"/>
    </row>
    <row r="533" spans="3:3" ht="15.75" customHeight="1" x14ac:dyDescent="0.3">
      <c r="C533" s="2"/>
    </row>
    <row r="534" spans="3:3" ht="15.75" customHeight="1" x14ac:dyDescent="0.3">
      <c r="C534" s="2"/>
    </row>
    <row r="535" spans="3:3" ht="15.75" customHeight="1" x14ac:dyDescent="0.3">
      <c r="C535" s="2"/>
    </row>
    <row r="536" spans="3:3" ht="15.75" customHeight="1" x14ac:dyDescent="0.3">
      <c r="C536" s="2"/>
    </row>
    <row r="537" spans="3:3" ht="15.75" customHeight="1" x14ac:dyDescent="0.3">
      <c r="C537" s="2"/>
    </row>
    <row r="538" spans="3:3" ht="15.75" customHeight="1" x14ac:dyDescent="0.3">
      <c r="C538" s="2"/>
    </row>
    <row r="539" spans="3:3" ht="15.75" customHeight="1" x14ac:dyDescent="0.3">
      <c r="C539" s="2"/>
    </row>
    <row r="540" spans="3:3" ht="15.75" customHeight="1" x14ac:dyDescent="0.3">
      <c r="C540" s="2"/>
    </row>
    <row r="541" spans="3:3" ht="15.75" customHeight="1" x14ac:dyDescent="0.3">
      <c r="C541" s="2"/>
    </row>
    <row r="542" spans="3:3" ht="15.75" customHeight="1" x14ac:dyDescent="0.3">
      <c r="C542" s="2"/>
    </row>
    <row r="543" spans="3:3" ht="15.75" customHeight="1" x14ac:dyDescent="0.3">
      <c r="C543" s="2"/>
    </row>
    <row r="544" spans="3:3" ht="15.75" customHeight="1" x14ac:dyDescent="0.3">
      <c r="C544" s="2"/>
    </row>
    <row r="545" spans="3:3" ht="15.75" customHeight="1" x14ac:dyDescent="0.3">
      <c r="C545" s="2"/>
    </row>
    <row r="546" spans="3:3" ht="15.75" customHeight="1" x14ac:dyDescent="0.3">
      <c r="C546" s="2"/>
    </row>
    <row r="547" spans="3:3" ht="15.75" customHeight="1" x14ac:dyDescent="0.3">
      <c r="C547" s="2"/>
    </row>
    <row r="548" spans="3:3" ht="15.75" customHeight="1" x14ac:dyDescent="0.3">
      <c r="C548" s="2"/>
    </row>
    <row r="549" spans="3:3" ht="15.75" customHeight="1" x14ac:dyDescent="0.3">
      <c r="C549" s="2"/>
    </row>
    <row r="550" spans="3:3" ht="15.75" customHeight="1" x14ac:dyDescent="0.3">
      <c r="C550" s="2"/>
    </row>
    <row r="551" spans="3:3" ht="15.75" customHeight="1" x14ac:dyDescent="0.3">
      <c r="C551" s="2"/>
    </row>
    <row r="552" spans="3:3" ht="15.75" customHeight="1" x14ac:dyDescent="0.3">
      <c r="C552" s="2"/>
    </row>
    <row r="553" spans="3:3" ht="15.75" customHeight="1" x14ac:dyDescent="0.3">
      <c r="C553" s="2"/>
    </row>
    <row r="554" spans="3:3" ht="15.75" customHeight="1" x14ac:dyDescent="0.3">
      <c r="C554" s="2"/>
    </row>
    <row r="555" spans="3:3" ht="15.75" customHeight="1" x14ac:dyDescent="0.3">
      <c r="C555" s="2"/>
    </row>
    <row r="556" spans="3:3" ht="15.75" customHeight="1" x14ac:dyDescent="0.3">
      <c r="C556" s="2"/>
    </row>
    <row r="557" spans="3:3" ht="15.75" customHeight="1" x14ac:dyDescent="0.3">
      <c r="C557" s="2"/>
    </row>
    <row r="558" spans="3:3" ht="15.75" customHeight="1" x14ac:dyDescent="0.3">
      <c r="C558" s="2"/>
    </row>
    <row r="559" spans="3:3" ht="15.75" customHeight="1" x14ac:dyDescent="0.3">
      <c r="C559" s="2"/>
    </row>
    <row r="560" spans="3:3" ht="15.75" customHeight="1" x14ac:dyDescent="0.3">
      <c r="C560" s="2"/>
    </row>
    <row r="561" spans="3:3" ht="15.75" customHeight="1" x14ac:dyDescent="0.3">
      <c r="C561" s="2"/>
    </row>
    <row r="562" spans="3:3" ht="15.75" customHeight="1" x14ac:dyDescent="0.3">
      <c r="C562" s="2"/>
    </row>
    <row r="563" spans="3:3" ht="15.75" customHeight="1" x14ac:dyDescent="0.3">
      <c r="C563" s="2"/>
    </row>
    <row r="564" spans="3:3" ht="15.75" customHeight="1" x14ac:dyDescent="0.3">
      <c r="C564" s="2"/>
    </row>
    <row r="565" spans="3:3" ht="15.75" customHeight="1" x14ac:dyDescent="0.3">
      <c r="C565" s="2"/>
    </row>
    <row r="566" spans="3:3" ht="15.75" customHeight="1" x14ac:dyDescent="0.3">
      <c r="C566" s="2"/>
    </row>
    <row r="567" spans="3:3" ht="15.75" customHeight="1" x14ac:dyDescent="0.3">
      <c r="C567" s="2"/>
    </row>
    <row r="568" spans="3:3" ht="15.75" customHeight="1" x14ac:dyDescent="0.3">
      <c r="C568" s="2"/>
    </row>
    <row r="569" spans="3:3" ht="15.75" customHeight="1" x14ac:dyDescent="0.3">
      <c r="C569" s="2"/>
    </row>
    <row r="570" spans="3:3" ht="15.75" customHeight="1" x14ac:dyDescent="0.3">
      <c r="C570" s="2"/>
    </row>
    <row r="571" spans="3:3" ht="15.75" customHeight="1" x14ac:dyDescent="0.3">
      <c r="C571" s="2"/>
    </row>
    <row r="572" spans="3:3" ht="15.75" customHeight="1" x14ac:dyDescent="0.3">
      <c r="C572" s="2"/>
    </row>
    <row r="573" spans="3:3" ht="15.75" customHeight="1" x14ac:dyDescent="0.3">
      <c r="C573" s="2"/>
    </row>
    <row r="574" spans="3:3" ht="15.75" customHeight="1" x14ac:dyDescent="0.3">
      <c r="C574" s="2"/>
    </row>
    <row r="575" spans="3:3" ht="15.75" customHeight="1" x14ac:dyDescent="0.3">
      <c r="C575" s="2"/>
    </row>
    <row r="576" spans="3:3" ht="15.75" customHeight="1" x14ac:dyDescent="0.3">
      <c r="C576" s="2"/>
    </row>
    <row r="577" spans="3:3" ht="15.75" customHeight="1" x14ac:dyDescent="0.3">
      <c r="C577" s="2"/>
    </row>
    <row r="578" spans="3:3" ht="15.75" customHeight="1" x14ac:dyDescent="0.3">
      <c r="C578" s="2"/>
    </row>
    <row r="579" spans="3:3" ht="15.75" customHeight="1" x14ac:dyDescent="0.3">
      <c r="C579" s="2"/>
    </row>
    <row r="580" spans="3:3" ht="15.75" customHeight="1" x14ac:dyDescent="0.3">
      <c r="C580" s="2"/>
    </row>
    <row r="581" spans="3:3" ht="15.75" customHeight="1" x14ac:dyDescent="0.3">
      <c r="C581" s="2"/>
    </row>
    <row r="582" spans="3:3" ht="15.75" customHeight="1" x14ac:dyDescent="0.3">
      <c r="C582" s="2"/>
    </row>
    <row r="583" spans="3:3" ht="15.75" customHeight="1" x14ac:dyDescent="0.3">
      <c r="C583" s="2"/>
    </row>
    <row r="584" spans="3:3" ht="15.75" customHeight="1" x14ac:dyDescent="0.3">
      <c r="C584" s="2"/>
    </row>
    <row r="585" spans="3:3" ht="15.75" customHeight="1" x14ac:dyDescent="0.3">
      <c r="C585" s="2"/>
    </row>
    <row r="586" spans="3:3" ht="15.75" customHeight="1" x14ac:dyDescent="0.3">
      <c r="C586" s="2"/>
    </row>
    <row r="587" spans="3:3" ht="15.75" customHeight="1" x14ac:dyDescent="0.3">
      <c r="C587" s="2"/>
    </row>
    <row r="588" spans="3:3" ht="15.75" customHeight="1" x14ac:dyDescent="0.3">
      <c r="C588" s="2"/>
    </row>
    <row r="589" spans="3:3" ht="15.75" customHeight="1" x14ac:dyDescent="0.3">
      <c r="C589" s="2"/>
    </row>
    <row r="590" spans="3:3" ht="15.75" customHeight="1" x14ac:dyDescent="0.3">
      <c r="C590" s="2"/>
    </row>
    <row r="591" spans="3:3" ht="15.75" customHeight="1" x14ac:dyDescent="0.3">
      <c r="C591" s="2"/>
    </row>
    <row r="592" spans="3:3" ht="15.75" customHeight="1" x14ac:dyDescent="0.3">
      <c r="C592" s="2"/>
    </row>
    <row r="593" spans="3:3" ht="15.75" customHeight="1" x14ac:dyDescent="0.3">
      <c r="C593" s="2"/>
    </row>
    <row r="594" spans="3:3" ht="15.75" customHeight="1" x14ac:dyDescent="0.3">
      <c r="C594" s="2"/>
    </row>
    <row r="595" spans="3:3" ht="15.75" customHeight="1" x14ac:dyDescent="0.3">
      <c r="C595" s="2"/>
    </row>
    <row r="596" spans="3:3" ht="15.75" customHeight="1" x14ac:dyDescent="0.3">
      <c r="C596" s="2"/>
    </row>
    <row r="597" spans="3:3" ht="15.75" customHeight="1" x14ac:dyDescent="0.3">
      <c r="C597" s="2"/>
    </row>
    <row r="598" spans="3:3" ht="15.75" customHeight="1" x14ac:dyDescent="0.3">
      <c r="C598" s="2"/>
    </row>
    <row r="599" spans="3:3" ht="15.75" customHeight="1" x14ac:dyDescent="0.3">
      <c r="C599" s="2"/>
    </row>
    <row r="600" spans="3:3" ht="15.75" customHeight="1" x14ac:dyDescent="0.3">
      <c r="C600" s="2"/>
    </row>
    <row r="601" spans="3:3" ht="15.75" customHeight="1" x14ac:dyDescent="0.3">
      <c r="C601" s="2"/>
    </row>
    <row r="602" spans="3:3" ht="15.75" customHeight="1" x14ac:dyDescent="0.3">
      <c r="C602" s="2"/>
    </row>
    <row r="603" spans="3:3" ht="15.75" customHeight="1" x14ac:dyDescent="0.3">
      <c r="C603" s="2"/>
    </row>
    <row r="604" spans="3:3" ht="15.75" customHeight="1" x14ac:dyDescent="0.3">
      <c r="C604" s="2"/>
    </row>
    <row r="605" spans="3:3" ht="15.75" customHeight="1" x14ac:dyDescent="0.3">
      <c r="C605" s="2"/>
    </row>
    <row r="606" spans="3:3" ht="15.75" customHeight="1" x14ac:dyDescent="0.3">
      <c r="C606" s="2"/>
    </row>
    <row r="607" spans="3:3" ht="15.75" customHeight="1" x14ac:dyDescent="0.3">
      <c r="C607" s="2"/>
    </row>
    <row r="608" spans="3:3" ht="15.75" customHeight="1" x14ac:dyDescent="0.3">
      <c r="C608" s="2"/>
    </row>
    <row r="609" spans="3:3" ht="15.75" customHeight="1" x14ac:dyDescent="0.3">
      <c r="C609" s="2"/>
    </row>
    <row r="610" spans="3:3" ht="15.75" customHeight="1" x14ac:dyDescent="0.3">
      <c r="C610" s="2"/>
    </row>
    <row r="611" spans="3:3" ht="15.75" customHeight="1" x14ac:dyDescent="0.3">
      <c r="C611" s="2"/>
    </row>
    <row r="612" spans="3:3" ht="15.75" customHeight="1" x14ac:dyDescent="0.3">
      <c r="C612" s="2"/>
    </row>
    <row r="613" spans="3:3" ht="15.75" customHeight="1" x14ac:dyDescent="0.3">
      <c r="C613" s="2"/>
    </row>
    <row r="614" spans="3:3" ht="15.75" customHeight="1" x14ac:dyDescent="0.3">
      <c r="C614" s="2"/>
    </row>
    <row r="615" spans="3:3" ht="15.75" customHeight="1" x14ac:dyDescent="0.3">
      <c r="C615" s="2"/>
    </row>
    <row r="616" spans="3:3" ht="15.75" customHeight="1" x14ac:dyDescent="0.3">
      <c r="C616" s="2"/>
    </row>
    <row r="617" spans="3:3" ht="15.75" customHeight="1" x14ac:dyDescent="0.3">
      <c r="C617" s="2"/>
    </row>
    <row r="618" spans="3:3" ht="15.75" customHeight="1" x14ac:dyDescent="0.3">
      <c r="C618" s="2"/>
    </row>
    <row r="619" spans="3:3" ht="15.75" customHeight="1" x14ac:dyDescent="0.3">
      <c r="C619" s="2"/>
    </row>
    <row r="620" spans="3:3" ht="15.75" customHeight="1" x14ac:dyDescent="0.3">
      <c r="C620" s="2"/>
    </row>
    <row r="621" spans="3:3" ht="15.75" customHeight="1" x14ac:dyDescent="0.3">
      <c r="C621" s="2"/>
    </row>
    <row r="622" spans="3:3" ht="15.75" customHeight="1" x14ac:dyDescent="0.3">
      <c r="C622" s="2"/>
    </row>
    <row r="623" spans="3:3" ht="15.75" customHeight="1" x14ac:dyDescent="0.3">
      <c r="C623" s="2"/>
    </row>
    <row r="624" spans="3:3" ht="15.75" customHeight="1" x14ac:dyDescent="0.3">
      <c r="C624" s="2"/>
    </row>
    <row r="625" spans="3:3" ht="15.75" customHeight="1" x14ac:dyDescent="0.3">
      <c r="C625" s="2"/>
    </row>
    <row r="626" spans="3:3" ht="15.75" customHeight="1" x14ac:dyDescent="0.3">
      <c r="C626" s="2"/>
    </row>
    <row r="627" spans="3:3" ht="15.75" customHeight="1" x14ac:dyDescent="0.3">
      <c r="C627" s="2"/>
    </row>
    <row r="628" spans="3:3" ht="15.75" customHeight="1" x14ac:dyDescent="0.3">
      <c r="C628" s="2"/>
    </row>
    <row r="629" spans="3:3" ht="15.75" customHeight="1" x14ac:dyDescent="0.3">
      <c r="C629" s="2"/>
    </row>
    <row r="630" spans="3:3" ht="15.75" customHeight="1" x14ac:dyDescent="0.3">
      <c r="C630" s="2"/>
    </row>
    <row r="631" spans="3:3" ht="15.75" customHeight="1" x14ac:dyDescent="0.3">
      <c r="C631" s="2"/>
    </row>
    <row r="632" spans="3:3" ht="15.75" customHeight="1" x14ac:dyDescent="0.3">
      <c r="C632" s="2"/>
    </row>
    <row r="633" spans="3:3" ht="15.75" customHeight="1" x14ac:dyDescent="0.3">
      <c r="C633" s="2"/>
    </row>
    <row r="634" spans="3:3" ht="15.75" customHeight="1" x14ac:dyDescent="0.3">
      <c r="C634" s="2"/>
    </row>
    <row r="635" spans="3:3" ht="15.75" customHeight="1" x14ac:dyDescent="0.3">
      <c r="C635" s="2"/>
    </row>
    <row r="636" spans="3:3" ht="15.75" customHeight="1" x14ac:dyDescent="0.3">
      <c r="C636" s="2"/>
    </row>
    <row r="637" spans="3:3" ht="15.75" customHeight="1" x14ac:dyDescent="0.3">
      <c r="C637" s="2"/>
    </row>
    <row r="638" spans="3:3" ht="15.75" customHeight="1" x14ac:dyDescent="0.3">
      <c r="C638" s="2"/>
    </row>
    <row r="639" spans="3:3" ht="15.75" customHeight="1" x14ac:dyDescent="0.3">
      <c r="C639" s="2"/>
    </row>
    <row r="640" spans="3:3" ht="15.75" customHeight="1" x14ac:dyDescent="0.3">
      <c r="C640" s="2"/>
    </row>
    <row r="641" spans="3:3" ht="15.75" customHeight="1" x14ac:dyDescent="0.3">
      <c r="C641" s="2"/>
    </row>
    <row r="642" spans="3:3" ht="15.75" customHeight="1" x14ac:dyDescent="0.3">
      <c r="C642" s="2"/>
    </row>
    <row r="643" spans="3:3" ht="15.75" customHeight="1" x14ac:dyDescent="0.3">
      <c r="C643" s="2"/>
    </row>
    <row r="644" spans="3:3" ht="15.75" customHeight="1" x14ac:dyDescent="0.3">
      <c r="C644" s="2"/>
    </row>
    <row r="645" spans="3:3" ht="15.75" customHeight="1" x14ac:dyDescent="0.3">
      <c r="C645" s="2"/>
    </row>
    <row r="646" spans="3:3" ht="15.75" customHeight="1" x14ac:dyDescent="0.3">
      <c r="C646" s="2"/>
    </row>
    <row r="647" spans="3:3" ht="15.75" customHeight="1" x14ac:dyDescent="0.3">
      <c r="C647" s="2"/>
    </row>
    <row r="648" spans="3:3" ht="15.75" customHeight="1" x14ac:dyDescent="0.3">
      <c r="C648" s="2"/>
    </row>
    <row r="649" spans="3:3" ht="15.75" customHeight="1" x14ac:dyDescent="0.3">
      <c r="C649" s="2"/>
    </row>
    <row r="650" spans="3:3" ht="15.75" customHeight="1" x14ac:dyDescent="0.3">
      <c r="C650" s="2"/>
    </row>
    <row r="651" spans="3:3" ht="15.75" customHeight="1" x14ac:dyDescent="0.3">
      <c r="C651" s="2"/>
    </row>
    <row r="652" spans="3:3" ht="15.75" customHeight="1" x14ac:dyDescent="0.3">
      <c r="C652" s="2"/>
    </row>
    <row r="653" spans="3:3" ht="15.75" customHeight="1" x14ac:dyDescent="0.3">
      <c r="C653" s="2"/>
    </row>
    <row r="654" spans="3:3" ht="15.75" customHeight="1" x14ac:dyDescent="0.3">
      <c r="C654" s="2"/>
    </row>
    <row r="655" spans="3:3" ht="15.75" customHeight="1" x14ac:dyDescent="0.3">
      <c r="C655" s="2"/>
    </row>
    <row r="656" spans="3:3" ht="15.75" customHeight="1" x14ac:dyDescent="0.3">
      <c r="C656" s="2"/>
    </row>
    <row r="657" spans="3:3" ht="15.75" customHeight="1" x14ac:dyDescent="0.3">
      <c r="C657" s="2"/>
    </row>
    <row r="658" spans="3:3" ht="15.75" customHeight="1" x14ac:dyDescent="0.3">
      <c r="C658" s="2"/>
    </row>
    <row r="659" spans="3:3" ht="15.75" customHeight="1" x14ac:dyDescent="0.3">
      <c r="C659" s="2"/>
    </row>
    <row r="660" spans="3:3" ht="15.75" customHeight="1" x14ac:dyDescent="0.3">
      <c r="C660" s="2"/>
    </row>
    <row r="661" spans="3:3" ht="15.75" customHeight="1" x14ac:dyDescent="0.3">
      <c r="C661" s="2"/>
    </row>
    <row r="662" spans="3:3" ht="15.75" customHeight="1" x14ac:dyDescent="0.3">
      <c r="C662" s="2"/>
    </row>
    <row r="663" spans="3:3" ht="15.75" customHeight="1" x14ac:dyDescent="0.3">
      <c r="C663" s="2"/>
    </row>
    <row r="664" spans="3:3" ht="15.75" customHeight="1" x14ac:dyDescent="0.3">
      <c r="C664" s="2"/>
    </row>
    <row r="665" spans="3:3" ht="15.75" customHeight="1" x14ac:dyDescent="0.3">
      <c r="C665" s="2"/>
    </row>
    <row r="666" spans="3:3" ht="15.75" customHeight="1" x14ac:dyDescent="0.3">
      <c r="C666" s="2"/>
    </row>
    <row r="667" spans="3:3" ht="15.75" customHeight="1" x14ac:dyDescent="0.3">
      <c r="C667" s="2"/>
    </row>
    <row r="668" spans="3:3" ht="15.75" customHeight="1" x14ac:dyDescent="0.3">
      <c r="C668" s="2"/>
    </row>
    <row r="669" spans="3:3" ht="15.75" customHeight="1" x14ac:dyDescent="0.3">
      <c r="C669" s="2"/>
    </row>
    <row r="670" spans="3:3" ht="15.75" customHeight="1" x14ac:dyDescent="0.3">
      <c r="C670" s="2"/>
    </row>
    <row r="671" spans="3:3" ht="15.75" customHeight="1" x14ac:dyDescent="0.3">
      <c r="C671" s="2"/>
    </row>
    <row r="672" spans="3:3" ht="15.75" customHeight="1" x14ac:dyDescent="0.3">
      <c r="C672" s="2"/>
    </row>
    <row r="673" spans="3:3" ht="15.75" customHeight="1" x14ac:dyDescent="0.3">
      <c r="C673" s="2"/>
    </row>
    <row r="674" spans="3:3" ht="15.75" customHeight="1" x14ac:dyDescent="0.3">
      <c r="C674" s="2"/>
    </row>
    <row r="675" spans="3:3" ht="15.75" customHeight="1" x14ac:dyDescent="0.3">
      <c r="C675" s="2"/>
    </row>
    <row r="676" spans="3:3" ht="15.75" customHeight="1" x14ac:dyDescent="0.3">
      <c r="C676" s="2"/>
    </row>
    <row r="677" spans="3:3" ht="15.75" customHeight="1" x14ac:dyDescent="0.3">
      <c r="C677" s="2"/>
    </row>
    <row r="678" spans="3:3" ht="15.75" customHeight="1" x14ac:dyDescent="0.3">
      <c r="C678" s="2"/>
    </row>
    <row r="679" spans="3:3" ht="15.75" customHeight="1" x14ac:dyDescent="0.3">
      <c r="C679" s="2"/>
    </row>
    <row r="680" spans="3:3" ht="15.75" customHeight="1" x14ac:dyDescent="0.3">
      <c r="C680" s="2"/>
    </row>
    <row r="681" spans="3:3" ht="15.75" customHeight="1" x14ac:dyDescent="0.3">
      <c r="C681" s="2"/>
    </row>
    <row r="682" spans="3:3" ht="15.75" customHeight="1" x14ac:dyDescent="0.3">
      <c r="C682" s="2"/>
    </row>
    <row r="683" spans="3:3" ht="15.75" customHeight="1" x14ac:dyDescent="0.3">
      <c r="C683" s="2"/>
    </row>
    <row r="684" spans="3:3" ht="15.75" customHeight="1" x14ac:dyDescent="0.3">
      <c r="C684" s="2"/>
    </row>
    <row r="685" spans="3:3" ht="15.75" customHeight="1" x14ac:dyDescent="0.3">
      <c r="C685" s="2"/>
    </row>
    <row r="686" spans="3:3" ht="15.75" customHeight="1" x14ac:dyDescent="0.3">
      <c r="C686" s="2"/>
    </row>
    <row r="687" spans="3:3" ht="15.75" customHeight="1" x14ac:dyDescent="0.3">
      <c r="C687" s="2"/>
    </row>
    <row r="688" spans="3:3" ht="15.75" customHeight="1" x14ac:dyDescent="0.3">
      <c r="C688" s="2"/>
    </row>
    <row r="689" spans="3:3" ht="15.75" customHeight="1" x14ac:dyDescent="0.3">
      <c r="C689" s="2"/>
    </row>
    <row r="690" spans="3:3" ht="15.75" customHeight="1" x14ac:dyDescent="0.3">
      <c r="C690" s="2"/>
    </row>
    <row r="691" spans="3:3" ht="15.75" customHeight="1" x14ac:dyDescent="0.3">
      <c r="C691" s="2"/>
    </row>
    <row r="692" spans="3:3" ht="15.75" customHeight="1" x14ac:dyDescent="0.3">
      <c r="C692" s="2"/>
    </row>
    <row r="693" spans="3:3" ht="15.75" customHeight="1" x14ac:dyDescent="0.3">
      <c r="C693" s="2"/>
    </row>
    <row r="694" spans="3:3" ht="15.75" customHeight="1" x14ac:dyDescent="0.3">
      <c r="C694" s="2"/>
    </row>
    <row r="695" spans="3:3" ht="15.75" customHeight="1" x14ac:dyDescent="0.3">
      <c r="C695" s="2"/>
    </row>
    <row r="696" spans="3:3" ht="15.75" customHeight="1" x14ac:dyDescent="0.3">
      <c r="C696" s="2"/>
    </row>
    <row r="697" spans="3:3" ht="15.75" customHeight="1" x14ac:dyDescent="0.3">
      <c r="C697" s="2"/>
    </row>
    <row r="698" spans="3:3" ht="15.75" customHeight="1" x14ac:dyDescent="0.3">
      <c r="C698" s="2"/>
    </row>
    <row r="699" spans="3:3" ht="15.75" customHeight="1" x14ac:dyDescent="0.3">
      <c r="C699" s="2"/>
    </row>
    <row r="700" spans="3:3" ht="15.75" customHeight="1" x14ac:dyDescent="0.3">
      <c r="C700" s="2"/>
    </row>
    <row r="701" spans="3:3" ht="15.75" customHeight="1" x14ac:dyDescent="0.3">
      <c r="C701" s="2"/>
    </row>
    <row r="702" spans="3:3" ht="15.75" customHeight="1" x14ac:dyDescent="0.3">
      <c r="C702" s="2"/>
    </row>
    <row r="703" spans="3:3" ht="15.75" customHeight="1" x14ac:dyDescent="0.3">
      <c r="C703" s="2"/>
    </row>
    <row r="704" spans="3:3" ht="15.75" customHeight="1" x14ac:dyDescent="0.3">
      <c r="C704" s="2"/>
    </row>
    <row r="705" spans="3:3" ht="15.75" customHeight="1" x14ac:dyDescent="0.3">
      <c r="C705" s="2"/>
    </row>
    <row r="706" spans="3:3" ht="15.75" customHeight="1" x14ac:dyDescent="0.3">
      <c r="C706" s="2"/>
    </row>
    <row r="707" spans="3:3" ht="15.75" customHeight="1" x14ac:dyDescent="0.3">
      <c r="C707" s="2"/>
    </row>
    <row r="708" spans="3:3" ht="15.75" customHeight="1" x14ac:dyDescent="0.3">
      <c r="C708" s="2"/>
    </row>
    <row r="709" spans="3:3" ht="15.75" customHeight="1" x14ac:dyDescent="0.3">
      <c r="C709" s="2"/>
    </row>
    <row r="710" spans="3:3" ht="15.75" customHeight="1" x14ac:dyDescent="0.3">
      <c r="C710" s="2"/>
    </row>
    <row r="711" spans="3:3" ht="15.75" customHeight="1" x14ac:dyDescent="0.3">
      <c r="C711" s="2"/>
    </row>
    <row r="712" spans="3:3" ht="15.75" customHeight="1" x14ac:dyDescent="0.3">
      <c r="C712" s="2"/>
    </row>
    <row r="713" spans="3:3" ht="15.75" customHeight="1" x14ac:dyDescent="0.3">
      <c r="C713" s="2"/>
    </row>
    <row r="714" spans="3:3" ht="15.75" customHeight="1" x14ac:dyDescent="0.3">
      <c r="C714" s="2"/>
    </row>
    <row r="715" spans="3:3" ht="15.75" customHeight="1" x14ac:dyDescent="0.3">
      <c r="C715" s="2"/>
    </row>
    <row r="716" spans="3:3" ht="15.75" customHeight="1" x14ac:dyDescent="0.3">
      <c r="C716" s="2"/>
    </row>
    <row r="717" spans="3:3" ht="15.75" customHeight="1" x14ac:dyDescent="0.3">
      <c r="C717" s="2"/>
    </row>
    <row r="718" spans="3:3" ht="15.75" customHeight="1" x14ac:dyDescent="0.3">
      <c r="C718" s="2"/>
    </row>
    <row r="719" spans="3:3" ht="15.75" customHeight="1" x14ac:dyDescent="0.3">
      <c r="C719" s="2"/>
    </row>
    <row r="720" spans="3:3" ht="15.75" customHeight="1" x14ac:dyDescent="0.3">
      <c r="C720" s="2"/>
    </row>
    <row r="721" spans="3:3" ht="15.75" customHeight="1" x14ac:dyDescent="0.3">
      <c r="C721" s="2"/>
    </row>
    <row r="722" spans="3:3" ht="15.75" customHeight="1" x14ac:dyDescent="0.3">
      <c r="C722" s="2"/>
    </row>
    <row r="723" spans="3:3" ht="15.75" customHeight="1" x14ac:dyDescent="0.3">
      <c r="C723" s="2"/>
    </row>
    <row r="724" spans="3:3" ht="15.75" customHeight="1" x14ac:dyDescent="0.3">
      <c r="C724" s="2"/>
    </row>
    <row r="725" spans="3:3" ht="15.75" customHeight="1" x14ac:dyDescent="0.3">
      <c r="C725" s="2"/>
    </row>
    <row r="726" spans="3:3" ht="15.75" customHeight="1" x14ac:dyDescent="0.3">
      <c r="C726" s="2"/>
    </row>
    <row r="727" spans="3:3" ht="15.75" customHeight="1" x14ac:dyDescent="0.3">
      <c r="C727" s="2"/>
    </row>
    <row r="728" spans="3:3" ht="15.75" customHeight="1" x14ac:dyDescent="0.3">
      <c r="C728" s="2"/>
    </row>
    <row r="729" spans="3:3" ht="15.75" customHeight="1" x14ac:dyDescent="0.3">
      <c r="C729" s="2"/>
    </row>
    <row r="730" spans="3:3" ht="15.75" customHeight="1" x14ac:dyDescent="0.3">
      <c r="C730" s="2"/>
    </row>
    <row r="731" spans="3:3" ht="15.75" customHeight="1" x14ac:dyDescent="0.3">
      <c r="C731" s="2"/>
    </row>
    <row r="732" spans="3:3" ht="15.75" customHeight="1" x14ac:dyDescent="0.3">
      <c r="C732" s="2"/>
    </row>
    <row r="733" spans="3:3" ht="15.75" customHeight="1" x14ac:dyDescent="0.3">
      <c r="C733" s="2"/>
    </row>
    <row r="734" spans="3:3" ht="15.75" customHeight="1" x14ac:dyDescent="0.3">
      <c r="C734" s="2"/>
    </row>
    <row r="735" spans="3:3" ht="15.75" customHeight="1" x14ac:dyDescent="0.3">
      <c r="C735" s="2"/>
    </row>
    <row r="736" spans="3:3" ht="15.75" customHeight="1" x14ac:dyDescent="0.3">
      <c r="C736" s="2"/>
    </row>
    <row r="737" spans="3:3" ht="15.75" customHeight="1" x14ac:dyDescent="0.3">
      <c r="C737" s="2"/>
    </row>
    <row r="738" spans="3:3" ht="15.75" customHeight="1" x14ac:dyDescent="0.3">
      <c r="C738" s="2"/>
    </row>
    <row r="739" spans="3:3" ht="15.75" customHeight="1" x14ac:dyDescent="0.3">
      <c r="C739" s="2"/>
    </row>
    <row r="740" spans="3:3" ht="15.75" customHeight="1" x14ac:dyDescent="0.3">
      <c r="C740" s="2"/>
    </row>
    <row r="741" spans="3:3" ht="15.75" customHeight="1" x14ac:dyDescent="0.3">
      <c r="C741" s="2"/>
    </row>
    <row r="742" spans="3:3" ht="15.75" customHeight="1" x14ac:dyDescent="0.3">
      <c r="C742" s="2"/>
    </row>
    <row r="743" spans="3:3" ht="15.75" customHeight="1" x14ac:dyDescent="0.3">
      <c r="C743" s="2"/>
    </row>
    <row r="744" spans="3:3" ht="15.75" customHeight="1" x14ac:dyDescent="0.3">
      <c r="C744" s="2"/>
    </row>
    <row r="745" spans="3:3" ht="15.75" customHeight="1" x14ac:dyDescent="0.3">
      <c r="C745" s="2"/>
    </row>
    <row r="746" spans="3:3" ht="15.75" customHeight="1" x14ac:dyDescent="0.3">
      <c r="C746" s="2"/>
    </row>
    <row r="747" spans="3:3" ht="15.75" customHeight="1" x14ac:dyDescent="0.3">
      <c r="C747" s="2"/>
    </row>
    <row r="748" spans="3:3" ht="15.75" customHeight="1" x14ac:dyDescent="0.3">
      <c r="C748" s="2"/>
    </row>
    <row r="749" spans="3:3" ht="15.75" customHeight="1" x14ac:dyDescent="0.3">
      <c r="C749" s="2"/>
    </row>
    <row r="750" spans="3:3" ht="15.75" customHeight="1" x14ac:dyDescent="0.3">
      <c r="C750" s="2"/>
    </row>
    <row r="751" spans="3:3" ht="15.75" customHeight="1" x14ac:dyDescent="0.3">
      <c r="C751" s="2"/>
    </row>
    <row r="752" spans="3:3" ht="15.75" customHeight="1" x14ac:dyDescent="0.3">
      <c r="C752" s="2"/>
    </row>
    <row r="753" spans="3:3" ht="15.75" customHeight="1" x14ac:dyDescent="0.3">
      <c r="C753" s="2"/>
    </row>
    <row r="754" spans="3:3" ht="15.75" customHeight="1" x14ac:dyDescent="0.3">
      <c r="C754" s="2"/>
    </row>
    <row r="755" spans="3:3" ht="15.75" customHeight="1" x14ac:dyDescent="0.3">
      <c r="C755" s="2"/>
    </row>
    <row r="756" spans="3:3" ht="15.75" customHeight="1" x14ac:dyDescent="0.3">
      <c r="C756" s="2"/>
    </row>
    <row r="757" spans="3:3" ht="15.75" customHeight="1" x14ac:dyDescent="0.3">
      <c r="C757" s="2"/>
    </row>
    <row r="758" spans="3:3" ht="15.75" customHeight="1" x14ac:dyDescent="0.3">
      <c r="C758" s="2"/>
    </row>
    <row r="759" spans="3:3" ht="15.75" customHeight="1" x14ac:dyDescent="0.3">
      <c r="C759" s="2"/>
    </row>
    <row r="760" spans="3:3" ht="15.75" customHeight="1" x14ac:dyDescent="0.3">
      <c r="C760" s="2"/>
    </row>
    <row r="761" spans="3:3" ht="15.75" customHeight="1" x14ac:dyDescent="0.3">
      <c r="C761" s="2"/>
    </row>
    <row r="762" spans="3:3" ht="15.75" customHeight="1" x14ac:dyDescent="0.3">
      <c r="C762" s="2"/>
    </row>
    <row r="763" spans="3:3" ht="15.75" customHeight="1" x14ac:dyDescent="0.3">
      <c r="C763" s="2"/>
    </row>
    <row r="764" spans="3:3" ht="15.75" customHeight="1" x14ac:dyDescent="0.3">
      <c r="C764" s="2"/>
    </row>
    <row r="765" spans="3:3" ht="15.75" customHeight="1" x14ac:dyDescent="0.3">
      <c r="C765" s="2"/>
    </row>
    <row r="766" spans="3:3" ht="15.75" customHeight="1" x14ac:dyDescent="0.3">
      <c r="C766" s="2"/>
    </row>
    <row r="767" spans="3:3" ht="15.75" customHeight="1" x14ac:dyDescent="0.3">
      <c r="C767" s="2"/>
    </row>
    <row r="768" spans="3:3" ht="15.75" customHeight="1" x14ac:dyDescent="0.3">
      <c r="C768" s="2"/>
    </row>
    <row r="769" spans="3:3" ht="15.75" customHeight="1" x14ac:dyDescent="0.3">
      <c r="C769" s="2"/>
    </row>
    <row r="770" spans="3:3" ht="15.75" customHeight="1" x14ac:dyDescent="0.3">
      <c r="C770" s="2"/>
    </row>
    <row r="771" spans="3:3" ht="15.75" customHeight="1" x14ac:dyDescent="0.3">
      <c r="C771" s="2"/>
    </row>
    <row r="772" spans="3:3" ht="15.75" customHeight="1" x14ac:dyDescent="0.3">
      <c r="C772" s="2"/>
    </row>
    <row r="773" spans="3:3" ht="15.75" customHeight="1" x14ac:dyDescent="0.3">
      <c r="C773" s="2"/>
    </row>
    <row r="774" spans="3:3" ht="15.75" customHeight="1" x14ac:dyDescent="0.3">
      <c r="C774" s="2"/>
    </row>
    <row r="775" spans="3:3" ht="15.75" customHeight="1" x14ac:dyDescent="0.3">
      <c r="C775" s="2"/>
    </row>
    <row r="776" spans="3:3" ht="15.75" customHeight="1" x14ac:dyDescent="0.3">
      <c r="C776" s="2"/>
    </row>
    <row r="777" spans="3:3" ht="15.75" customHeight="1" x14ac:dyDescent="0.3">
      <c r="C777" s="2"/>
    </row>
    <row r="778" spans="3:3" ht="15.75" customHeight="1" x14ac:dyDescent="0.3">
      <c r="C778" s="2"/>
    </row>
    <row r="779" spans="3:3" ht="15.75" customHeight="1" x14ac:dyDescent="0.3">
      <c r="C779" s="2"/>
    </row>
    <row r="780" spans="3:3" ht="15.75" customHeight="1" x14ac:dyDescent="0.3">
      <c r="C780" s="2"/>
    </row>
    <row r="781" spans="3:3" ht="15.75" customHeight="1" x14ac:dyDescent="0.3">
      <c r="C781" s="2"/>
    </row>
    <row r="782" spans="3:3" ht="15.75" customHeight="1" x14ac:dyDescent="0.3">
      <c r="C782" s="2"/>
    </row>
    <row r="783" spans="3:3" ht="15.75" customHeight="1" x14ac:dyDescent="0.3">
      <c r="C783" s="2"/>
    </row>
    <row r="784" spans="3:3" ht="15.75" customHeight="1" x14ac:dyDescent="0.3">
      <c r="C784" s="2"/>
    </row>
    <row r="785" spans="3:3" ht="15.75" customHeight="1" x14ac:dyDescent="0.3">
      <c r="C785" s="2"/>
    </row>
    <row r="786" spans="3:3" ht="15.75" customHeight="1" x14ac:dyDescent="0.3">
      <c r="C786" s="2"/>
    </row>
    <row r="787" spans="3:3" ht="15.75" customHeight="1" x14ac:dyDescent="0.3">
      <c r="C787" s="2"/>
    </row>
    <row r="788" spans="3:3" ht="15.75" customHeight="1" x14ac:dyDescent="0.3">
      <c r="C788" s="2"/>
    </row>
    <row r="789" spans="3:3" ht="15.75" customHeight="1" x14ac:dyDescent="0.3">
      <c r="C789" s="2"/>
    </row>
    <row r="790" spans="3:3" ht="15.75" customHeight="1" x14ac:dyDescent="0.3">
      <c r="C790" s="2"/>
    </row>
    <row r="791" spans="3:3" ht="15.75" customHeight="1" x14ac:dyDescent="0.3">
      <c r="C791" s="2"/>
    </row>
    <row r="792" spans="3:3" ht="15.75" customHeight="1" x14ac:dyDescent="0.3">
      <c r="C792" s="2"/>
    </row>
    <row r="793" spans="3:3" ht="15.75" customHeight="1" x14ac:dyDescent="0.3">
      <c r="C793" s="2"/>
    </row>
    <row r="794" spans="3:3" ht="15.75" customHeight="1" x14ac:dyDescent="0.3">
      <c r="C794" s="2"/>
    </row>
    <row r="795" spans="3:3" ht="15.75" customHeight="1" x14ac:dyDescent="0.3">
      <c r="C795" s="2"/>
    </row>
    <row r="796" spans="3:3" ht="15.75" customHeight="1" x14ac:dyDescent="0.3">
      <c r="C796" s="2"/>
    </row>
    <row r="797" spans="3:3" ht="15.75" customHeight="1" x14ac:dyDescent="0.3">
      <c r="C797" s="2"/>
    </row>
    <row r="798" spans="3:3" ht="15.75" customHeight="1" x14ac:dyDescent="0.3">
      <c r="C798" s="2"/>
    </row>
    <row r="799" spans="3:3" ht="15.75" customHeight="1" x14ac:dyDescent="0.3">
      <c r="C799" s="2"/>
    </row>
    <row r="800" spans="3:3" ht="15.75" customHeight="1" x14ac:dyDescent="0.3">
      <c r="C800" s="2"/>
    </row>
    <row r="801" spans="3:3" ht="15.75" customHeight="1" x14ac:dyDescent="0.3">
      <c r="C801" s="2"/>
    </row>
    <row r="802" spans="3:3" ht="15.75" customHeight="1" x14ac:dyDescent="0.3">
      <c r="C802" s="2"/>
    </row>
    <row r="803" spans="3:3" ht="15.75" customHeight="1" x14ac:dyDescent="0.3">
      <c r="C803" s="2"/>
    </row>
    <row r="804" spans="3:3" ht="15.75" customHeight="1" x14ac:dyDescent="0.3">
      <c r="C804" s="2"/>
    </row>
    <row r="805" spans="3:3" ht="15.75" customHeight="1" x14ac:dyDescent="0.3">
      <c r="C805" s="2"/>
    </row>
    <row r="806" spans="3:3" ht="15.75" customHeight="1" x14ac:dyDescent="0.3">
      <c r="C806" s="2"/>
    </row>
    <row r="807" spans="3:3" ht="15.75" customHeight="1" x14ac:dyDescent="0.3">
      <c r="C807" s="2"/>
    </row>
    <row r="808" spans="3:3" ht="15.75" customHeight="1" x14ac:dyDescent="0.3">
      <c r="C808" s="2"/>
    </row>
    <row r="809" spans="3:3" ht="15.75" customHeight="1" x14ac:dyDescent="0.3">
      <c r="C809" s="2"/>
    </row>
    <row r="810" spans="3:3" ht="15.75" customHeight="1" x14ac:dyDescent="0.3">
      <c r="C810" s="2"/>
    </row>
    <row r="811" spans="3:3" ht="15.75" customHeight="1" x14ac:dyDescent="0.3">
      <c r="C811" s="2"/>
    </row>
    <row r="812" spans="3:3" ht="15.75" customHeight="1" x14ac:dyDescent="0.3">
      <c r="C812" s="2"/>
    </row>
    <row r="813" spans="3:3" ht="15.75" customHeight="1" x14ac:dyDescent="0.3">
      <c r="C813" s="2"/>
    </row>
    <row r="814" spans="3:3" ht="15.75" customHeight="1" x14ac:dyDescent="0.3">
      <c r="C814" s="2"/>
    </row>
    <row r="815" spans="3:3" ht="15.75" customHeight="1" x14ac:dyDescent="0.3">
      <c r="C815" s="2"/>
    </row>
    <row r="816" spans="3:3" ht="15.75" customHeight="1" x14ac:dyDescent="0.3">
      <c r="C816" s="2"/>
    </row>
    <row r="817" spans="3:3" ht="15.75" customHeight="1" x14ac:dyDescent="0.3">
      <c r="C817" s="2"/>
    </row>
    <row r="818" spans="3:3" ht="15.75" customHeight="1" x14ac:dyDescent="0.3">
      <c r="C818" s="2"/>
    </row>
    <row r="819" spans="3:3" ht="15.75" customHeight="1" x14ac:dyDescent="0.3">
      <c r="C819" s="2"/>
    </row>
    <row r="820" spans="3:3" ht="15.75" customHeight="1" x14ac:dyDescent="0.3">
      <c r="C820" s="2"/>
    </row>
    <row r="821" spans="3:3" ht="15.75" customHeight="1" x14ac:dyDescent="0.3">
      <c r="C821" s="2"/>
    </row>
    <row r="822" spans="3:3" ht="15.75" customHeight="1" x14ac:dyDescent="0.3">
      <c r="C822" s="2"/>
    </row>
    <row r="823" spans="3:3" ht="15.75" customHeight="1" x14ac:dyDescent="0.3">
      <c r="C823" s="2"/>
    </row>
    <row r="824" spans="3:3" ht="15.75" customHeight="1" x14ac:dyDescent="0.3">
      <c r="C824" s="2"/>
    </row>
    <row r="825" spans="3:3" ht="15.75" customHeight="1" x14ac:dyDescent="0.3">
      <c r="C825" s="2"/>
    </row>
    <row r="826" spans="3:3" ht="15.75" customHeight="1" x14ac:dyDescent="0.3">
      <c r="C826" s="2"/>
    </row>
    <row r="827" spans="3:3" ht="15.75" customHeight="1" x14ac:dyDescent="0.3">
      <c r="C827" s="2"/>
    </row>
    <row r="828" spans="3:3" ht="15.75" customHeight="1" x14ac:dyDescent="0.3">
      <c r="C828" s="2"/>
    </row>
    <row r="829" spans="3:3" ht="15.75" customHeight="1" x14ac:dyDescent="0.3">
      <c r="C829" s="2"/>
    </row>
    <row r="830" spans="3:3" ht="15.75" customHeight="1" x14ac:dyDescent="0.3">
      <c r="C830" s="2"/>
    </row>
    <row r="831" spans="3:3" ht="15.75" customHeight="1" x14ac:dyDescent="0.3">
      <c r="C831" s="2"/>
    </row>
    <row r="832" spans="3:3" ht="15.75" customHeight="1" x14ac:dyDescent="0.3">
      <c r="C832" s="2"/>
    </row>
    <row r="833" spans="3:3" ht="15.75" customHeight="1" x14ac:dyDescent="0.3">
      <c r="C833" s="2"/>
    </row>
    <row r="834" spans="3:3" ht="15.75" customHeight="1" x14ac:dyDescent="0.3">
      <c r="C834" s="2"/>
    </row>
    <row r="835" spans="3:3" ht="15.75" customHeight="1" x14ac:dyDescent="0.3">
      <c r="C835" s="2"/>
    </row>
    <row r="836" spans="3:3" ht="15.75" customHeight="1" x14ac:dyDescent="0.3">
      <c r="C836" s="2"/>
    </row>
    <row r="837" spans="3:3" ht="15.75" customHeight="1" x14ac:dyDescent="0.3">
      <c r="C837" s="2"/>
    </row>
    <row r="838" spans="3:3" ht="15.75" customHeight="1" x14ac:dyDescent="0.3">
      <c r="C838" s="2"/>
    </row>
    <row r="839" spans="3:3" ht="15.75" customHeight="1" x14ac:dyDescent="0.3">
      <c r="C839" s="2"/>
    </row>
    <row r="840" spans="3:3" ht="15.75" customHeight="1" x14ac:dyDescent="0.3">
      <c r="C840" s="2"/>
    </row>
    <row r="841" spans="3:3" ht="15.75" customHeight="1" x14ac:dyDescent="0.3">
      <c r="C841" s="2"/>
    </row>
    <row r="842" spans="3:3" ht="15.75" customHeight="1" x14ac:dyDescent="0.3">
      <c r="C842" s="2"/>
    </row>
    <row r="843" spans="3:3" ht="15.75" customHeight="1" x14ac:dyDescent="0.3">
      <c r="C843" s="2"/>
    </row>
    <row r="844" spans="3:3" ht="15.75" customHeight="1" x14ac:dyDescent="0.3">
      <c r="C844" s="2"/>
    </row>
    <row r="845" spans="3:3" ht="15.75" customHeight="1" x14ac:dyDescent="0.3">
      <c r="C845" s="2"/>
    </row>
    <row r="846" spans="3:3" ht="15.75" customHeight="1" x14ac:dyDescent="0.3">
      <c r="C846" s="2"/>
    </row>
    <row r="847" spans="3:3" ht="15.75" customHeight="1" x14ac:dyDescent="0.3">
      <c r="C847" s="2"/>
    </row>
    <row r="848" spans="3:3" ht="15.75" customHeight="1" x14ac:dyDescent="0.3">
      <c r="C848" s="2"/>
    </row>
    <row r="849" spans="3:3" ht="15.75" customHeight="1" x14ac:dyDescent="0.3">
      <c r="C849" s="2"/>
    </row>
    <row r="850" spans="3:3" ht="15.75" customHeight="1" x14ac:dyDescent="0.3">
      <c r="C850" s="2"/>
    </row>
    <row r="851" spans="3:3" ht="15.75" customHeight="1" x14ac:dyDescent="0.3">
      <c r="C851" s="2"/>
    </row>
    <row r="852" spans="3:3" ht="15.75" customHeight="1" x14ac:dyDescent="0.3">
      <c r="C852" s="2"/>
    </row>
    <row r="853" spans="3:3" ht="15.75" customHeight="1" x14ac:dyDescent="0.3">
      <c r="C853" s="2"/>
    </row>
    <row r="854" spans="3:3" ht="15.75" customHeight="1" x14ac:dyDescent="0.3">
      <c r="C854" s="2"/>
    </row>
    <row r="855" spans="3:3" ht="15.75" customHeight="1" x14ac:dyDescent="0.3">
      <c r="C855" s="2"/>
    </row>
    <row r="856" spans="3:3" ht="15.75" customHeight="1" x14ac:dyDescent="0.3">
      <c r="C856" s="2"/>
    </row>
    <row r="857" spans="3:3" ht="15.75" customHeight="1" x14ac:dyDescent="0.3">
      <c r="C857" s="2"/>
    </row>
    <row r="858" spans="3:3" ht="15.75" customHeight="1" x14ac:dyDescent="0.3">
      <c r="C858" s="2"/>
    </row>
    <row r="859" spans="3:3" ht="15.75" customHeight="1" x14ac:dyDescent="0.3">
      <c r="C859" s="2"/>
    </row>
    <row r="860" spans="3:3" ht="15.75" customHeight="1" x14ac:dyDescent="0.3">
      <c r="C860" s="2"/>
    </row>
    <row r="861" spans="3:3" ht="15.75" customHeight="1" x14ac:dyDescent="0.3">
      <c r="C861" s="2"/>
    </row>
    <row r="862" spans="3:3" ht="15.75" customHeight="1" x14ac:dyDescent="0.3">
      <c r="C862" s="2"/>
    </row>
    <row r="863" spans="3:3" ht="15.75" customHeight="1" x14ac:dyDescent="0.3">
      <c r="C863" s="2"/>
    </row>
    <row r="864" spans="3:3" ht="15.75" customHeight="1" x14ac:dyDescent="0.3">
      <c r="C864" s="2"/>
    </row>
    <row r="865" spans="3:3" ht="15.75" customHeight="1" x14ac:dyDescent="0.3">
      <c r="C865" s="2"/>
    </row>
    <row r="866" spans="3:3" ht="15.75" customHeight="1" x14ac:dyDescent="0.3">
      <c r="C866" s="2"/>
    </row>
    <row r="867" spans="3:3" ht="15.75" customHeight="1" x14ac:dyDescent="0.3">
      <c r="C867" s="2"/>
    </row>
    <row r="868" spans="3:3" ht="15.75" customHeight="1" x14ac:dyDescent="0.3">
      <c r="C868" s="2"/>
    </row>
    <row r="869" spans="3:3" ht="15.75" customHeight="1" x14ac:dyDescent="0.3">
      <c r="C869" s="2"/>
    </row>
    <row r="870" spans="3:3" ht="15.75" customHeight="1" x14ac:dyDescent="0.3">
      <c r="C870" s="2"/>
    </row>
    <row r="871" spans="3:3" ht="15.75" customHeight="1" x14ac:dyDescent="0.3">
      <c r="C871" s="2"/>
    </row>
    <row r="872" spans="3:3" ht="15.75" customHeight="1" x14ac:dyDescent="0.3">
      <c r="C872" s="2"/>
    </row>
    <row r="873" spans="3:3" ht="15.75" customHeight="1" x14ac:dyDescent="0.3">
      <c r="C873" s="2"/>
    </row>
    <row r="874" spans="3:3" ht="15.75" customHeight="1" x14ac:dyDescent="0.3">
      <c r="C874" s="2"/>
    </row>
    <row r="875" spans="3:3" ht="15.75" customHeight="1" x14ac:dyDescent="0.3">
      <c r="C875" s="2"/>
    </row>
    <row r="876" spans="3:3" ht="15.75" customHeight="1" x14ac:dyDescent="0.3">
      <c r="C876" s="2"/>
    </row>
    <row r="877" spans="3:3" ht="15.75" customHeight="1" x14ac:dyDescent="0.3">
      <c r="C877" s="2"/>
    </row>
    <row r="878" spans="3:3" ht="15.75" customHeight="1" x14ac:dyDescent="0.3">
      <c r="C878" s="2"/>
    </row>
    <row r="879" spans="3:3" ht="15.75" customHeight="1" x14ac:dyDescent="0.3">
      <c r="C879" s="2"/>
    </row>
    <row r="880" spans="3:3" ht="15.75" customHeight="1" x14ac:dyDescent="0.3">
      <c r="C880" s="2"/>
    </row>
    <row r="881" spans="3:3" ht="15.75" customHeight="1" x14ac:dyDescent="0.3">
      <c r="C881" s="2"/>
    </row>
    <row r="882" spans="3:3" ht="15.75" customHeight="1" x14ac:dyDescent="0.3">
      <c r="C882" s="2"/>
    </row>
    <row r="883" spans="3:3" ht="15.75" customHeight="1" x14ac:dyDescent="0.3">
      <c r="C883" s="2"/>
    </row>
    <row r="884" spans="3:3" ht="15.75" customHeight="1" x14ac:dyDescent="0.3">
      <c r="C884" s="2"/>
    </row>
    <row r="885" spans="3:3" ht="15.75" customHeight="1" x14ac:dyDescent="0.3">
      <c r="C885" s="2"/>
    </row>
    <row r="886" spans="3:3" ht="15.75" customHeight="1" x14ac:dyDescent="0.3">
      <c r="C886" s="2"/>
    </row>
    <row r="887" spans="3:3" ht="15.75" customHeight="1" x14ac:dyDescent="0.3">
      <c r="C887" s="2"/>
    </row>
    <row r="888" spans="3:3" ht="15.75" customHeight="1" x14ac:dyDescent="0.3">
      <c r="C888" s="2"/>
    </row>
    <row r="889" spans="3:3" ht="15.75" customHeight="1" x14ac:dyDescent="0.3">
      <c r="C889" s="2"/>
    </row>
    <row r="890" spans="3:3" ht="15.75" customHeight="1" x14ac:dyDescent="0.3">
      <c r="C890" s="2"/>
    </row>
    <row r="891" spans="3:3" ht="15.75" customHeight="1" x14ac:dyDescent="0.3">
      <c r="C891" s="2"/>
    </row>
    <row r="892" spans="3:3" ht="15.75" customHeight="1" x14ac:dyDescent="0.3">
      <c r="C892" s="2"/>
    </row>
    <row r="893" spans="3:3" ht="15.75" customHeight="1" x14ac:dyDescent="0.3">
      <c r="C893" s="2"/>
    </row>
    <row r="894" spans="3:3" ht="15.75" customHeight="1" x14ac:dyDescent="0.3">
      <c r="C894" s="2"/>
    </row>
    <row r="895" spans="3:3" ht="15.75" customHeight="1" x14ac:dyDescent="0.3">
      <c r="C895" s="2"/>
    </row>
    <row r="896" spans="3:3" ht="15.75" customHeight="1" x14ac:dyDescent="0.3">
      <c r="C896" s="2"/>
    </row>
    <row r="897" spans="3:3" ht="15.75" customHeight="1" x14ac:dyDescent="0.3">
      <c r="C897" s="2"/>
    </row>
    <row r="898" spans="3:3" ht="15.75" customHeight="1" x14ac:dyDescent="0.3">
      <c r="C898" s="2"/>
    </row>
    <row r="899" spans="3:3" ht="15.75" customHeight="1" x14ac:dyDescent="0.3">
      <c r="C899" s="2"/>
    </row>
    <row r="900" spans="3:3" ht="15.75" customHeight="1" x14ac:dyDescent="0.3">
      <c r="C900" s="2"/>
    </row>
    <row r="901" spans="3:3" ht="15.75" customHeight="1" x14ac:dyDescent="0.3">
      <c r="C901" s="2"/>
    </row>
    <row r="902" spans="3:3" ht="15.75" customHeight="1" x14ac:dyDescent="0.3">
      <c r="C902" s="2"/>
    </row>
    <row r="903" spans="3:3" ht="15.75" customHeight="1" x14ac:dyDescent="0.3">
      <c r="C903" s="2"/>
    </row>
    <row r="904" spans="3:3" ht="15.75" customHeight="1" x14ac:dyDescent="0.3">
      <c r="C904" s="2"/>
    </row>
    <row r="905" spans="3:3" ht="15.75" customHeight="1" x14ac:dyDescent="0.3">
      <c r="C905" s="2"/>
    </row>
    <row r="906" spans="3:3" ht="15.75" customHeight="1" x14ac:dyDescent="0.3">
      <c r="C906" s="2"/>
    </row>
    <row r="907" spans="3:3" ht="15.75" customHeight="1" x14ac:dyDescent="0.3">
      <c r="C907" s="2"/>
    </row>
    <row r="908" spans="3:3" ht="15.75" customHeight="1" x14ac:dyDescent="0.3">
      <c r="C908" s="2"/>
    </row>
    <row r="909" spans="3:3" ht="15.75" customHeight="1" x14ac:dyDescent="0.3">
      <c r="C909" s="2"/>
    </row>
    <row r="910" spans="3:3" ht="15.75" customHeight="1" x14ac:dyDescent="0.3">
      <c r="C910" s="2"/>
    </row>
    <row r="911" spans="3:3" ht="15.75" customHeight="1" x14ac:dyDescent="0.3">
      <c r="C911" s="2"/>
    </row>
    <row r="912" spans="3:3" ht="15.75" customHeight="1" x14ac:dyDescent="0.3">
      <c r="C912" s="2"/>
    </row>
    <row r="913" spans="3:3" ht="15.75" customHeight="1" x14ac:dyDescent="0.3">
      <c r="C913" s="2"/>
    </row>
    <row r="914" spans="3:3" ht="15.75" customHeight="1" x14ac:dyDescent="0.3">
      <c r="C914" s="2"/>
    </row>
    <row r="915" spans="3:3" ht="15.75" customHeight="1" x14ac:dyDescent="0.3">
      <c r="C915" s="2"/>
    </row>
    <row r="916" spans="3:3" ht="15.75" customHeight="1" x14ac:dyDescent="0.3">
      <c r="C916" s="2"/>
    </row>
    <row r="917" spans="3:3" ht="15.75" customHeight="1" x14ac:dyDescent="0.3">
      <c r="C917" s="2"/>
    </row>
    <row r="918" spans="3:3" ht="15.75" customHeight="1" x14ac:dyDescent="0.3">
      <c r="C918" s="2"/>
    </row>
    <row r="919" spans="3:3" ht="15.75" customHeight="1" x14ac:dyDescent="0.3">
      <c r="C919" s="2"/>
    </row>
    <row r="920" spans="3:3" ht="15.75" customHeight="1" x14ac:dyDescent="0.3">
      <c r="C920" s="2"/>
    </row>
    <row r="921" spans="3:3" ht="15.75" customHeight="1" x14ac:dyDescent="0.3">
      <c r="C921" s="2"/>
    </row>
    <row r="922" spans="3:3" ht="15.75" customHeight="1" x14ac:dyDescent="0.3">
      <c r="C922" s="2"/>
    </row>
    <row r="923" spans="3:3" ht="15.75" customHeight="1" x14ac:dyDescent="0.3">
      <c r="C923" s="2"/>
    </row>
    <row r="924" spans="3:3" ht="15.75" customHeight="1" x14ac:dyDescent="0.3">
      <c r="C924" s="2"/>
    </row>
    <row r="925" spans="3:3" ht="15.75" customHeight="1" x14ac:dyDescent="0.3">
      <c r="C925" s="2"/>
    </row>
    <row r="926" spans="3:3" ht="15.75" customHeight="1" x14ac:dyDescent="0.3">
      <c r="C926" s="2"/>
    </row>
    <row r="927" spans="3:3" ht="15.75" customHeight="1" x14ac:dyDescent="0.3">
      <c r="C927" s="2"/>
    </row>
    <row r="928" spans="3:3" ht="15.75" customHeight="1" x14ac:dyDescent="0.3">
      <c r="C928" s="2"/>
    </row>
    <row r="929" spans="3:3" ht="15.75" customHeight="1" x14ac:dyDescent="0.3">
      <c r="C929" s="2"/>
    </row>
    <row r="930" spans="3:3" ht="15.75" customHeight="1" x14ac:dyDescent="0.3">
      <c r="C930" s="2"/>
    </row>
    <row r="931" spans="3:3" ht="15.75" customHeight="1" x14ac:dyDescent="0.3">
      <c r="C931" s="2"/>
    </row>
    <row r="932" spans="3:3" ht="15.75" customHeight="1" x14ac:dyDescent="0.3">
      <c r="C932" s="2"/>
    </row>
    <row r="933" spans="3:3" ht="15.75" customHeight="1" x14ac:dyDescent="0.3">
      <c r="C933" s="2"/>
    </row>
    <row r="934" spans="3:3" ht="15.75" customHeight="1" x14ac:dyDescent="0.3">
      <c r="C934" s="2"/>
    </row>
    <row r="935" spans="3:3" ht="15.75" customHeight="1" x14ac:dyDescent="0.3">
      <c r="C935" s="2"/>
    </row>
    <row r="936" spans="3:3" ht="15.75" customHeight="1" x14ac:dyDescent="0.3">
      <c r="C936" s="2"/>
    </row>
    <row r="937" spans="3:3" ht="15.75" customHeight="1" x14ac:dyDescent="0.3">
      <c r="C937" s="2"/>
    </row>
    <row r="938" spans="3:3" ht="15.75" customHeight="1" x14ac:dyDescent="0.3">
      <c r="C938" s="2"/>
    </row>
    <row r="939" spans="3:3" ht="15.75" customHeight="1" x14ac:dyDescent="0.3">
      <c r="C939" s="2"/>
    </row>
    <row r="940" spans="3:3" ht="15.75" customHeight="1" x14ac:dyDescent="0.3">
      <c r="C940" s="2"/>
    </row>
    <row r="941" spans="3:3" ht="15.75" customHeight="1" x14ac:dyDescent="0.3">
      <c r="C941" s="2"/>
    </row>
    <row r="942" spans="3:3" ht="15.75" customHeight="1" x14ac:dyDescent="0.3">
      <c r="C942" s="2"/>
    </row>
    <row r="943" spans="3:3" ht="15.75" customHeight="1" x14ac:dyDescent="0.3">
      <c r="C943" s="2"/>
    </row>
    <row r="944" spans="3:3" ht="15.75" customHeight="1" x14ac:dyDescent="0.3">
      <c r="C944" s="2"/>
    </row>
    <row r="945" spans="3:3" ht="15.75" customHeight="1" x14ac:dyDescent="0.3">
      <c r="C945" s="2"/>
    </row>
    <row r="946" spans="3:3" ht="15.75" customHeight="1" x14ac:dyDescent="0.3">
      <c r="C946" s="2"/>
    </row>
    <row r="947" spans="3:3" ht="15.75" customHeight="1" x14ac:dyDescent="0.3">
      <c r="C947" s="2"/>
    </row>
    <row r="948" spans="3:3" ht="15.75" customHeight="1" x14ac:dyDescent="0.3">
      <c r="C948" s="2"/>
    </row>
    <row r="949" spans="3:3" ht="15.75" customHeight="1" x14ac:dyDescent="0.3">
      <c r="C949" s="2"/>
    </row>
    <row r="950" spans="3:3" ht="15.75" customHeight="1" x14ac:dyDescent="0.3">
      <c r="C950" s="2"/>
    </row>
    <row r="951" spans="3:3" ht="15.75" customHeight="1" x14ac:dyDescent="0.3">
      <c r="C951" s="2"/>
    </row>
    <row r="952" spans="3:3" ht="15.75" customHeight="1" x14ac:dyDescent="0.3">
      <c r="C952" s="2"/>
    </row>
    <row r="953" spans="3:3" ht="15.75" customHeight="1" x14ac:dyDescent="0.3">
      <c r="C953" s="2"/>
    </row>
    <row r="954" spans="3:3" ht="15.75" customHeight="1" x14ac:dyDescent="0.3">
      <c r="C954" s="2"/>
    </row>
    <row r="955" spans="3:3" ht="15.75" customHeight="1" x14ac:dyDescent="0.3">
      <c r="C955" s="2"/>
    </row>
    <row r="956" spans="3:3" ht="15.75" customHeight="1" x14ac:dyDescent="0.3">
      <c r="C956" s="2"/>
    </row>
    <row r="957" spans="3:3" ht="15.75" customHeight="1" x14ac:dyDescent="0.3">
      <c r="C957" s="2"/>
    </row>
    <row r="958" spans="3:3" ht="15.75" customHeight="1" x14ac:dyDescent="0.3">
      <c r="C958" s="2"/>
    </row>
    <row r="959" spans="3:3" ht="15.75" customHeight="1" x14ac:dyDescent="0.3">
      <c r="C959" s="2"/>
    </row>
    <row r="960" spans="3:3" ht="15.75" customHeight="1" x14ac:dyDescent="0.3">
      <c r="C960" s="2"/>
    </row>
    <row r="961" spans="3:3" ht="15.75" customHeight="1" x14ac:dyDescent="0.3">
      <c r="C961" s="2"/>
    </row>
    <row r="962" spans="3:3" ht="15.75" customHeight="1" x14ac:dyDescent="0.3">
      <c r="C962" s="2"/>
    </row>
    <row r="963" spans="3:3" ht="15.75" customHeight="1" x14ac:dyDescent="0.3">
      <c r="C963" s="2"/>
    </row>
    <row r="964" spans="3:3" ht="15.75" customHeight="1" x14ac:dyDescent="0.3">
      <c r="C964" s="2"/>
    </row>
    <row r="965" spans="3:3" ht="15.75" customHeight="1" x14ac:dyDescent="0.3">
      <c r="C965" s="2"/>
    </row>
    <row r="966" spans="3:3" ht="15.75" customHeight="1" x14ac:dyDescent="0.3">
      <c r="C966" s="2"/>
    </row>
    <row r="967" spans="3:3" ht="15.75" customHeight="1" x14ac:dyDescent="0.3">
      <c r="C967" s="2"/>
    </row>
    <row r="968" spans="3:3" ht="15.75" customHeight="1" x14ac:dyDescent="0.3">
      <c r="C968" s="2"/>
    </row>
    <row r="969" spans="3:3" ht="15.75" customHeight="1" x14ac:dyDescent="0.3">
      <c r="C969" s="2"/>
    </row>
    <row r="970" spans="3:3" ht="15.75" customHeight="1" x14ac:dyDescent="0.3">
      <c r="C970" s="2"/>
    </row>
    <row r="971" spans="3:3" ht="15.75" customHeight="1" x14ac:dyDescent="0.3">
      <c r="C971" s="2"/>
    </row>
    <row r="972" spans="3:3" ht="15.75" customHeight="1" x14ac:dyDescent="0.3">
      <c r="C972" s="2"/>
    </row>
    <row r="973" spans="3:3" ht="15.75" customHeight="1" x14ac:dyDescent="0.3">
      <c r="C973" s="2"/>
    </row>
    <row r="974" spans="3:3" ht="15.75" customHeight="1" x14ac:dyDescent="0.3">
      <c r="C974" s="2"/>
    </row>
    <row r="975" spans="3:3" ht="15.75" customHeight="1" x14ac:dyDescent="0.3">
      <c r="C975" s="2"/>
    </row>
    <row r="976" spans="3:3" ht="15.75" customHeight="1" x14ac:dyDescent="0.3">
      <c r="C976" s="2"/>
    </row>
    <row r="977" spans="3:3" ht="15.75" customHeight="1" x14ac:dyDescent="0.3">
      <c r="C977" s="2"/>
    </row>
    <row r="978" spans="3:3" ht="15.75" customHeight="1" x14ac:dyDescent="0.3">
      <c r="C978" s="2"/>
    </row>
    <row r="979" spans="3:3" ht="15.75" customHeight="1" x14ac:dyDescent="0.3">
      <c r="C979" s="2"/>
    </row>
    <row r="980" spans="3:3" ht="15.75" customHeight="1" x14ac:dyDescent="0.3">
      <c r="C980" s="2"/>
    </row>
    <row r="981" spans="3:3" ht="15.75" customHeight="1" x14ac:dyDescent="0.3">
      <c r="C981" s="2"/>
    </row>
    <row r="982" spans="3:3" ht="15.75" customHeight="1" x14ac:dyDescent="0.3">
      <c r="C982" s="2"/>
    </row>
    <row r="983" spans="3:3" ht="15.75" customHeight="1" x14ac:dyDescent="0.3">
      <c r="C983" s="2"/>
    </row>
    <row r="984" spans="3:3" ht="15.75" customHeight="1" x14ac:dyDescent="0.3">
      <c r="C984" s="2"/>
    </row>
    <row r="985" spans="3:3" ht="15.75" customHeight="1" x14ac:dyDescent="0.3">
      <c r="C985" s="2"/>
    </row>
    <row r="986" spans="3:3" ht="15.75" customHeight="1" x14ac:dyDescent="0.3">
      <c r="C986" s="2"/>
    </row>
    <row r="987" spans="3:3" ht="15.75" customHeight="1" x14ac:dyDescent="0.3">
      <c r="C987" s="2"/>
    </row>
    <row r="988" spans="3:3" ht="15.75" customHeight="1" x14ac:dyDescent="0.3">
      <c r="C988" s="2"/>
    </row>
    <row r="989" spans="3:3" ht="15.75" customHeight="1" x14ac:dyDescent="0.3">
      <c r="C989" s="2"/>
    </row>
    <row r="990" spans="3:3" ht="15.75" customHeight="1" x14ac:dyDescent="0.3">
      <c r="C990" s="2"/>
    </row>
    <row r="991" spans="3:3" ht="15.75" customHeight="1" x14ac:dyDescent="0.3">
      <c r="C991" s="2"/>
    </row>
    <row r="992" spans="3:3" ht="15.75" customHeight="1" x14ac:dyDescent="0.3">
      <c r="C992" s="2"/>
    </row>
    <row r="993" spans="3:3" ht="15.75" customHeight="1" x14ac:dyDescent="0.3">
      <c r="C993" s="2"/>
    </row>
    <row r="994" spans="3:3" ht="15.75" customHeight="1" x14ac:dyDescent="0.3">
      <c r="C994" s="2"/>
    </row>
    <row r="995" spans="3:3" ht="15.75" customHeight="1" x14ac:dyDescent="0.3">
      <c r="C995" s="2"/>
    </row>
    <row r="996" spans="3:3" ht="15.75" customHeight="1" x14ac:dyDescent="0.3">
      <c r="C996" s="2"/>
    </row>
    <row r="997" spans="3:3" ht="15.75" customHeight="1" x14ac:dyDescent="0.3">
      <c r="C997" s="2"/>
    </row>
    <row r="998" spans="3:3" ht="15.75" customHeight="1" x14ac:dyDescent="0.3">
      <c r="C998" s="2"/>
    </row>
    <row r="999" spans="3:3" ht="15.75" customHeight="1" x14ac:dyDescent="0.3">
      <c r="C999" s="2"/>
    </row>
    <row r="1000" spans="3:3" ht="15.75" customHeight="1" x14ac:dyDescent="0.3">
      <c r="C1000" s="2"/>
    </row>
  </sheetData>
  <mergeCells count="2">
    <mergeCell ref="I8:J9"/>
    <mergeCell ref="I10:J10"/>
  </mergeCells>
  <conditionalFormatting sqref="E11">
    <cfRule type="cellIs" dxfId="7" priority="1" operator="lessThan">
      <formula>300000</formula>
    </cfRule>
  </conditionalFormatting>
  <conditionalFormatting sqref="E11">
    <cfRule type="cellIs" dxfId="6" priority="2" operator="greaterThan">
      <formula>400000</formula>
    </cfRule>
  </conditionalFormatting>
  <conditionalFormatting sqref="E7:G10">
    <cfRule type="cellIs" dxfId="5" priority="3" operator="lessThan">
      <formula>300000</formula>
    </cfRule>
  </conditionalFormatting>
  <conditionalFormatting sqref="E7:G10">
    <cfRule type="cellIs" dxfId="4" priority="4" operator="greaterThan">
      <formula>400000</formula>
    </cfRule>
  </conditionalFormatting>
  <pageMargins left="0.25" right="0.25" top="0.75" bottom="0.75" header="0" footer="0"/>
  <pageSetup paperSize="9" fitToHeight="0" orientation="portrait"/>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workbookViewId="0"/>
  </sheetViews>
  <sheetFormatPr baseColWidth="10" defaultColWidth="12.6640625" defaultRowHeight="15" customHeight="1" x14ac:dyDescent="0.3"/>
  <cols>
    <col min="1" max="1" width="64.109375" customWidth="1"/>
    <col min="2" max="2" width="5.21875" customWidth="1"/>
    <col min="3" max="3" width="20.109375" customWidth="1"/>
    <col min="4" max="4" width="15.77734375" customWidth="1"/>
    <col min="5" max="5" width="15.6640625" customWidth="1"/>
    <col min="6" max="6" width="17.77734375" customWidth="1"/>
    <col min="7" max="7" width="21.77734375" customWidth="1"/>
    <col min="8" max="26" width="10.6640625" customWidth="1"/>
  </cols>
  <sheetData>
    <row r="1" spans="1:26" ht="43.2" x14ac:dyDescent="0.3">
      <c r="C1" s="2" t="s">
        <v>1</v>
      </c>
      <c r="E1" s="2" t="s">
        <v>3</v>
      </c>
      <c r="F1" s="4" t="s">
        <v>18</v>
      </c>
      <c r="G1" s="4" t="s">
        <v>19</v>
      </c>
    </row>
    <row r="2" spans="1:26" ht="14.4" x14ac:dyDescent="0.3">
      <c r="A2" s="8" t="s">
        <v>20</v>
      </c>
      <c r="B2" s="8"/>
      <c r="C2" s="9">
        <f>C31+C53</f>
        <v>1002704.58</v>
      </c>
      <c r="D2" s="8"/>
      <c r="E2" s="2">
        <f>C2</f>
        <v>1002704.58</v>
      </c>
      <c r="F2" s="2">
        <f>C15+C53</f>
        <v>764204.58</v>
      </c>
      <c r="G2" s="2">
        <f>C15+C43+C46</f>
        <v>737754.58</v>
      </c>
      <c r="H2" s="8"/>
      <c r="I2" s="8"/>
      <c r="J2" s="8"/>
      <c r="K2" s="8"/>
      <c r="L2" s="8"/>
      <c r="M2" s="8"/>
      <c r="N2" s="8"/>
      <c r="O2" s="8"/>
      <c r="P2" s="8"/>
      <c r="Q2" s="8"/>
      <c r="R2" s="8"/>
      <c r="S2" s="8"/>
      <c r="T2" s="8"/>
      <c r="U2" s="8"/>
      <c r="V2" s="8"/>
      <c r="W2" s="8"/>
      <c r="X2" s="8"/>
      <c r="Y2" s="8"/>
      <c r="Z2" s="8"/>
    </row>
    <row r="3" spans="1:26" ht="14.4" x14ac:dyDescent="0.3">
      <c r="A3" s="8" t="s">
        <v>22</v>
      </c>
      <c r="B3" s="8"/>
      <c r="C3" s="9"/>
      <c r="D3" s="8"/>
      <c r="E3" s="2">
        <f>SUM(C72)</f>
        <v>423728</v>
      </c>
      <c r="F3" s="2">
        <f>SUM(C72)</f>
        <v>423728</v>
      </c>
      <c r="G3" s="2">
        <f>SUM(C72)</f>
        <v>423728</v>
      </c>
      <c r="H3" s="8"/>
      <c r="I3" s="8"/>
      <c r="J3" s="8"/>
      <c r="K3" s="8"/>
      <c r="L3" s="8"/>
      <c r="M3" s="8"/>
      <c r="N3" s="8"/>
      <c r="O3" s="8"/>
      <c r="P3" s="8"/>
      <c r="Q3" s="8"/>
      <c r="R3" s="8"/>
      <c r="S3" s="8"/>
      <c r="T3" s="8"/>
      <c r="U3" s="8"/>
      <c r="V3" s="8"/>
      <c r="W3" s="8"/>
      <c r="X3" s="8"/>
      <c r="Y3" s="8"/>
      <c r="Z3" s="8"/>
    </row>
    <row r="4" spans="1:26" ht="14.4" x14ac:dyDescent="0.3">
      <c r="A4" s="8" t="s">
        <v>24</v>
      </c>
      <c r="B4" s="8"/>
      <c r="C4" s="9"/>
      <c r="D4" s="8"/>
      <c r="E4" s="2">
        <f t="shared" ref="E4:G4" si="0">$D$72</f>
        <v>640828</v>
      </c>
      <c r="F4" s="2">
        <f t="shared" si="0"/>
        <v>640828</v>
      </c>
      <c r="G4" s="2">
        <f t="shared" si="0"/>
        <v>640828</v>
      </c>
      <c r="H4" s="8"/>
      <c r="I4" s="8"/>
      <c r="J4" s="8"/>
      <c r="K4" s="8"/>
      <c r="L4" s="8"/>
      <c r="M4" s="8"/>
      <c r="N4" s="8"/>
      <c r="O4" s="8"/>
      <c r="P4" s="8"/>
      <c r="Q4" s="8"/>
      <c r="R4" s="8"/>
      <c r="S4" s="8"/>
      <c r="T4" s="8"/>
      <c r="U4" s="8"/>
      <c r="V4" s="8"/>
      <c r="W4" s="8"/>
      <c r="X4" s="8"/>
      <c r="Y4" s="8"/>
      <c r="Z4" s="8"/>
    </row>
    <row r="5" spans="1:26" ht="14.4" x14ac:dyDescent="0.3">
      <c r="C5" s="2"/>
    </row>
    <row r="6" spans="1:26" ht="14.4" x14ac:dyDescent="0.3">
      <c r="C6" s="2"/>
    </row>
    <row r="7" spans="1:26" ht="14.4" x14ac:dyDescent="0.3">
      <c r="A7" s="8" t="s">
        <v>26</v>
      </c>
      <c r="C7" s="9"/>
      <c r="E7" s="9">
        <f>$E$2-$E$3</f>
        <v>578976.57999999996</v>
      </c>
      <c r="F7" s="9">
        <f>$F$2-$F$3</f>
        <v>340476.57999999996</v>
      </c>
      <c r="G7" s="9">
        <f>$G$2-$G$3</f>
        <v>314026.57999999996</v>
      </c>
    </row>
    <row r="8" spans="1:26" ht="14.4" x14ac:dyDescent="0.3">
      <c r="A8" s="8" t="s">
        <v>28</v>
      </c>
      <c r="C8" s="9"/>
      <c r="E8" s="9">
        <f>$E$2-$E$4</f>
        <v>361876.57999999996</v>
      </c>
      <c r="F8" s="9">
        <f>$F$2-$F$4</f>
        <v>123376.57999999996</v>
      </c>
      <c r="G8" s="9">
        <f>$G$2-$G$4</f>
        <v>96926.579999999958</v>
      </c>
    </row>
    <row r="9" spans="1:26" ht="14.4" x14ac:dyDescent="0.3">
      <c r="A9" s="8" t="s">
        <v>29</v>
      </c>
      <c r="C9" s="9"/>
      <c r="E9" s="19">
        <f t="shared" ref="E9:G9" si="1">E7*0.2+E7</f>
        <v>694771.89599999995</v>
      </c>
      <c r="F9" s="20">
        <f t="shared" si="1"/>
        <v>408571.89599999995</v>
      </c>
      <c r="G9" s="23">
        <f t="shared" si="1"/>
        <v>376831.89599999995</v>
      </c>
      <c r="I9" s="113" t="s">
        <v>32</v>
      </c>
      <c r="J9" s="106"/>
    </row>
    <row r="10" spans="1:26" ht="14.4" x14ac:dyDescent="0.3">
      <c r="A10" s="8" t="s">
        <v>35</v>
      </c>
      <c r="C10" s="9"/>
      <c r="E10" s="19">
        <f t="shared" ref="E10:G10" si="2">E8*0.2+E8</f>
        <v>434251.89599999995</v>
      </c>
      <c r="F10" s="23">
        <f t="shared" si="2"/>
        <v>148051.89599999995</v>
      </c>
      <c r="G10" s="31">
        <f t="shared" si="2"/>
        <v>116311.89599999995</v>
      </c>
      <c r="I10" s="114"/>
      <c r="J10" s="108"/>
    </row>
    <row r="11" spans="1:26" ht="29.25" customHeight="1" x14ac:dyDescent="0.3">
      <c r="A11" s="8" t="s">
        <v>37</v>
      </c>
      <c r="C11" s="9"/>
      <c r="E11" s="34">
        <f t="shared" ref="E11:G11" si="3">E10+30000</f>
        <v>464251.89599999995</v>
      </c>
      <c r="F11" s="34">
        <f t="shared" si="3"/>
        <v>178051.89599999995</v>
      </c>
      <c r="G11" s="34">
        <f t="shared" si="3"/>
        <v>146311.89599999995</v>
      </c>
      <c r="I11" s="115" t="s">
        <v>51</v>
      </c>
      <c r="J11" s="110"/>
    </row>
    <row r="12" spans="1:26" ht="14.4" x14ac:dyDescent="0.3">
      <c r="A12" s="40" t="s">
        <v>68</v>
      </c>
      <c r="B12" s="44"/>
      <c r="C12" s="46"/>
      <c r="D12" s="44"/>
      <c r="E12" s="44"/>
      <c r="F12" s="44"/>
      <c r="G12" s="44"/>
      <c r="H12" s="44"/>
      <c r="I12" s="44"/>
      <c r="J12" s="44"/>
      <c r="K12" s="44"/>
      <c r="L12" s="44"/>
      <c r="M12" s="44"/>
      <c r="N12" s="44"/>
      <c r="O12" s="44"/>
      <c r="P12" s="44"/>
      <c r="Q12" s="44"/>
      <c r="R12" s="44"/>
      <c r="S12" s="44"/>
      <c r="T12" s="44"/>
      <c r="U12" s="44"/>
      <c r="V12" s="44"/>
      <c r="W12" s="44"/>
      <c r="X12" s="44"/>
      <c r="Y12" s="44"/>
      <c r="Z12" s="44"/>
    </row>
    <row r="13" spans="1:26" ht="14.4" hidden="1" x14ac:dyDescent="0.3">
      <c r="A13" s="49" t="s">
        <v>80</v>
      </c>
      <c r="B13" s="50"/>
      <c r="C13" s="51">
        <f>635000</f>
        <v>635000</v>
      </c>
      <c r="E13" s="3" t="s">
        <v>81</v>
      </c>
      <c r="F13" s="3" t="s">
        <v>81</v>
      </c>
      <c r="G13" s="3" t="s">
        <v>81</v>
      </c>
    </row>
    <row r="14" spans="1:26" ht="14.4" hidden="1" x14ac:dyDescent="0.3">
      <c r="A14" s="52"/>
      <c r="B14" s="3" t="s">
        <v>82</v>
      </c>
      <c r="C14" s="2">
        <f>B15*C13</f>
        <v>0</v>
      </c>
    </row>
    <row r="15" spans="1:26" ht="14.4" x14ac:dyDescent="0.3">
      <c r="A15" s="49" t="s">
        <v>83</v>
      </c>
      <c r="B15" s="55"/>
      <c r="C15" s="51">
        <v>706500</v>
      </c>
      <c r="E15" s="2"/>
      <c r="F15" s="2"/>
      <c r="G15" s="2"/>
      <c r="H15" s="2"/>
    </row>
    <row r="16" spans="1:26" ht="14.4" x14ac:dyDescent="0.3">
      <c r="A16" s="49" t="s">
        <v>84</v>
      </c>
      <c r="B16" s="55"/>
      <c r="C16" s="51">
        <f>C15+50000</f>
        <v>756500</v>
      </c>
      <c r="D16" s="2"/>
      <c r="E16" s="2"/>
      <c r="F16" s="2"/>
      <c r="G16" s="2"/>
      <c r="H16" s="2"/>
    </row>
    <row r="17" spans="1:26" ht="9" customHeight="1" x14ac:dyDescent="0.3">
      <c r="A17" s="12"/>
      <c r="B17" s="56"/>
      <c r="C17" s="9"/>
      <c r="D17" s="2"/>
      <c r="E17" s="2"/>
      <c r="F17" s="2"/>
      <c r="G17" s="2"/>
      <c r="H17" s="2"/>
    </row>
    <row r="18" spans="1:26" ht="14.4" x14ac:dyDescent="0.3">
      <c r="A18" s="52" t="s">
        <v>85</v>
      </c>
      <c r="B18" s="57"/>
      <c r="C18" s="58"/>
    </row>
    <row r="19" spans="1:26" ht="28.8" x14ac:dyDescent="0.3">
      <c r="A19" s="59" t="s">
        <v>86</v>
      </c>
      <c r="C19" s="13">
        <v>60000</v>
      </c>
      <c r="E19" s="3" t="s">
        <v>81</v>
      </c>
      <c r="G19" s="60">
        <v>188700</v>
      </c>
    </row>
    <row r="20" spans="1:26" ht="14.4" x14ac:dyDescent="0.3">
      <c r="A20" s="59" t="s">
        <v>87</v>
      </c>
      <c r="C20" s="13">
        <v>54000</v>
      </c>
      <c r="E20" s="3" t="s">
        <v>81</v>
      </c>
      <c r="G20" s="60">
        <f>G19+30000+30000</f>
        <v>248700</v>
      </c>
    </row>
    <row r="21" spans="1:26" ht="15.75" customHeight="1" x14ac:dyDescent="0.3">
      <c r="A21" s="59" t="s">
        <v>70</v>
      </c>
      <c r="C21" s="13">
        <v>9000</v>
      </c>
      <c r="E21" s="3" t="s">
        <v>81</v>
      </c>
      <c r="G21" s="60">
        <f>0.5*G20</f>
        <v>124350</v>
      </c>
    </row>
    <row r="22" spans="1:26" ht="15.75" customHeight="1" x14ac:dyDescent="0.3">
      <c r="A22" s="59" t="s">
        <v>88</v>
      </c>
      <c r="C22" s="13">
        <v>18700</v>
      </c>
      <c r="E22" s="3" t="s">
        <v>81</v>
      </c>
    </row>
    <row r="23" spans="1:26" ht="15.75" customHeight="1" x14ac:dyDescent="0.3">
      <c r="A23" s="59" t="s">
        <v>89</v>
      </c>
      <c r="C23" s="13">
        <v>40000</v>
      </c>
      <c r="E23" s="3" t="s">
        <v>81</v>
      </c>
    </row>
    <row r="24" spans="1:26" ht="15.75" customHeight="1" x14ac:dyDescent="0.3">
      <c r="A24" s="59" t="s">
        <v>90</v>
      </c>
      <c r="C24" s="13">
        <v>8000</v>
      </c>
      <c r="E24" s="3" t="s">
        <v>81</v>
      </c>
    </row>
    <row r="25" spans="1:26" ht="15.75" customHeight="1" x14ac:dyDescent="0.3">
      <c r="A25" s="59" t="s">
        <v>91</v>
      </c>
      <c r="C25" s="13">
        <v>100000</v>
      </c>
      <c r="E25" s="3" t="s">
        <v>81</v>
      </c>
    </row>
    <row r="26" spans="1:26" ht="15.75" customHeight="1" x14ac:dyDescent="0.3">
      <c r="A26" s="59" t="s">
        <v>72</v>
      </c>
      <c r="C26" s="13">
        <v>12100</v>
      </c>
      <c r="E26" s="3" t="s">
        <v>81</v>
      </c>
    </row>
    <row r="27" spans="1:26" ht="15.75" customHeight="1" x14ac:dyDescent="0.3">
      <c r="A27" s="59" t="s">
        <v>73</v>
      </c>
      <c r="C27" s="13">
        <v>5500</v>
      </c>
      <c r="E27" s="3" t="s">
        <v>81</v>
      </c>
    </row>
    <row r="28" spans="1:26" ht="15.75" customHeight="1" x14ac:dyDescent="0.3">
      <c r="A28" s="59" t="s">
        <v>74</v>
      </c>
      <c r="C28" s="13">
        <v>2700</v>
      </c>
      <c r="E28" s="3" t="s">
        <v>81</v>
      </c>
    </row>
    <row r="29" spans="1:26" ht="15.75" customHeight="1" x14ac:dyDescent="0.3">
      <c r="A29" s="62" t="s">
        <v>92</v>
      </c>
      <c r="B29" s="63"/>
      <c r="C29" s="64">
        <f>SUM(C19:C28)</f>
        <v>310000</v>
      </c>
    </row>
    <row r="30" spans="1:26" ht="15.75" customHeight="1" x14ac:dyDescent="0.3">
      <c r="A30" s="65"/>
      <c r="C30" s="2"/>
    </row>
    <row r="31" spans="1:26" ht="15.75" customHeight="1" x14ac:dyDescent="0.3">
      <c r="A31" s="66" t="s">
        <v>93</v>
      </c>
      <c r="B31" s="8"/>
      <c r="C31" s="67">
        <f>C13+C29</f>
        <v>945000</v>
      </c>
    </row>
    <row r="32" spans="1:26" ht="15.75" customHeight="1" x14ac:dyDescent="0.3">
      <c r="A32" s="68" t="s">
        <v>94</v>
      </c>
      <c r="B32" s="44"/>
      <c r="C32" s="46"/>
      <c r="D32" s="44"/>
      <c r="E32" s="44"/>
      <c r="F32" s="44"/>
      <c r="G32" s="44"/>
      <c r="H32" s="44"/>
      <c r="I32" s="44"/>
      <c r="J32" s="44"/>
      <c r="K32" s="44"/>
      <c r="L32" s="44"/>
      <c r="M32" s="44"/>
      <c r="N32" s="44"/>
      <c r="O32" s="44"/>
      <c r="P32" s="44"/>
      <c r="Q32" s="44"/>
      <c r="R32" s="44"/>
      <c r="S32" s="44"/>
      <c r="T32" s="44"/>
      <c r="U32" s="44"/>
      <c r="V32" s="44"/>
      <c r="W32" s="44"/>
      <c r="X32" s="44"/>
      <c r="Y32" s="44"/>
      <c r="Z32" s="44"/>
    </row>
    <row r="33" spans="1:7" ht="15.75" customHeight="1" x14ac:dyDescent="0.3">
      <c r="C33" s="2"/>
      <c r="D33" s="3" t="s">
        <v>95</v>
      </c>
    </row>
    <row r="34" spans="1:7" ht="15.75" customHeight="1" x14ac:dyDescent="0.3">
      <c r="A34" s="69" t="s">
        <v>96</v>
      </c>
      <c r="B34" s="57"/>
      <c r="C34" s="58">
        <v>27100</v>
      </c>
    </row>
    <row r="35" spans="1:7" ht="15.75" customHeight="1" x14ac:dyDescent="0.3">
      <c r="A35" s="70" t="s">
        <v>25</v>
      </c>
      <c r="B35" s="71"/>
      <c r="C35" s="72">
        <v>70000</v>
      </c>
    </row>
    <row r="36" spans="1:7" ht="15.75" customHeight="1" x14ac:dyDescent="0.3">
      <c r="A36" s="22" t="s">
        <v>39</v>
      </c>
      <c r="C36" s="13">
        <v>3510</v>
      </c>
    </row>
    <row r="37" spans="1:7" ht="15.75" customHeight="1" x14ac:dyDescent="0.3">
      <c r="A37" s="69" t="s">
        <v>41</v>
      </c>
      <c r="B37" s="57"/>
      <c r="C37" s="58">
        <v>5970</v>
      </c>
      <c r="D37" s="22"/>
      <c r="E37" s="3" t="s">
        <v>81</v>
      </c>
      <c r="F37" s="3" t="s">
        <v>81</v>
      </c>
      <c r="G37" s="3" t="s">
        <v>81</v>
      </c>
    </row>
    <row r="38" spans="1:7" ht="15.75" customHeight="1" x14ac:dyDescent="0.3">
      <c r="A38" s="22" t="s">
        <v>76</v>
      </c>
      <c r="C38" s="75">
        <v>11900</v>
      </c>
      <c r="D38" s="77">
        <v>6850</v>
      </c>
      <c r="E38" s="3" t="s">
        <v>81</v>
      </c>
      <c r="F38" s="3" t="s">
        <v>81</v>
      </c>
      <c r="G38" s="3" t="s">
        <v>81</v>
      </c>
    </row>
    <row r="39" spans="1:7" ht="15.75" customHeight="1" x14ac:dyDescent="0.3">
      <c r="A39" s="22" t="s">
        <v>78</v>
      </c>
      <c r="C39" s="79">
        <v>4207.5</v>
      </c>
      <c r="D39" s="77">
        <v>4207.5</v>
      </c>
      <c r="E39" s="3" t="s">
        <v>81</v>
      </c>
      <c r="F39" s="3" t="s">
        <v>81</v>
      </c>
      <c r="G39" s="3" t="s">
        <v>81</v>
      </c>
    </row>
    <row r="40" spans="1:7" ht="15.75" customHeight="1" x14ac:dyDescent="0.3">
      <c r="A40" s="22" t="s">
        <v>103</v>
      </c>
      <c r="C40" s="75">
        <v>2752</v>
      </c>
      <c r="D40" s="22"/>
      <c r="E40" s="3" t="s">
        <v>81</v>
      </c>
      <c r="F40" s="3" t="s">
        <v>81</v>
      </c>
      <c r="G40" s="3" t="s">
        <v>81</v>
      </c>
    </row>
    <row r="41" spans="1:7" ht="15.75" customHeight="1" x14ac:dyDescent="0.3">
      <c r="A41" s="22" t="s">
        <v>46</v>
      </c>
      <c r="C41" s="13">
        <v>3265.08</v>
      </c>
      <c r="D41" s="22"/>
      <c r="E41" s="3" t="s">
        <v>81</v>
      </c>
      <c r="F41" s="3" t="s">
        <v>81</v>
      </c>
      <c r="G41" s="3" t="s">
        <v>81</v>
      </c>
    </row>
    <row r="42" spans="1:7" ht="15.75" customHeight="1" x14ac:dyDescent="0.3">
      <c r="A42" s="22" t="s">
        <v>48</v>
      </c>
      <c r="C42" s="13">
        <v>600</v>
      </c>
      <c r="D42" s="22"/>
      <c r="E42" s="3" t="s">
        <v>81</v>
      </c>
      <c r="F42" s="3" t="s">
        <v>81</v>
      </c>
      <c r="G42" s="3" t="s">
        <v>81</v>
      </c>
    </row>
    <row r="43" spans="1:7" ht="15.75" customHeight="1" x14ac:dyDescent="0.3">
      <c r="A43" s="78" t="s">
        <v>98</v>
      </c>
      <c r="B43" s="63"/>
      <c r="C43" s="64">
        <f>SUM(C37:C42)</f>
        <v>28694.58</v>
      </c>
      <c r="D43" s="22"/>
    </row>
    <row r="44" spans="1:7" ht="15.75" customHeight="1" x14ac:dyDescent="0.3">
      <c r="C44" s="2"/>
    </row>
    <row r="45" spans="1:7" ht="15.75" customHeight="1" x14ac:dyDescent="0.3">
      <c r="A45" s="52" t="s">
        <v>100</v>
      </c>
      <c r="B45" s="57"/>
      <c r="C45" s="58"/>
    </row>
    <row r="46" spans="1:7" ht="15.75" customHeight="1" x14ac:dyDescent="0.3">
      <c r="A46" s="22" t="s">
        <v>101</v>
      </c>
      <c r="C46" s="13">
        <v>2560</v>
      </c>
      <c r="E46" s="3" t="s">
        <v>81</v>
      </c>
      <c r="F46" s="3" t="s">
        <v>81</v>
      </c>
      <c r="G46" s="3" t="s">
        <v>81</v>
      </c>
    </row>
    <row r="47" spans="1:7" ht="45" customHeight="1" x14ac:dyDescent="0.3">
      <c r="A47" s="59" t="s">
        <v>102</v>
      </c>
      <c r="C47" s="13">
        <v>3500</v>
      </c>
      <c r="E47" s="3" t="s">
        <v>81</v>
      </c>
      <c r="F47" s="3" t="s">
        <v>81</v>
      </c>
    </row>
    <row r="48" spans="1:7" ht="75.75" customHeight="1" x14ac:dyDescent="0.3">
      <c r="A48" s="59" t="s">
        <v>104</v>
      </c>
      <c r="C48" s="13">
        <v>2250</v>
      </c>
      <c r="E48" s="3" t="s">
        <v>81</v>
      </c>
      <c r="F48" s="3" t="s">
        <v>81</v>
      </c>
    </row>
    <row r="49" spans="1:26" ht="15.75" customHeight="1" x14ac:dyDescent="0.3">
      <c r="A49" s="59" t="s">
        <v>105</v>
      </c>
      <c r="C49" s="13">
        <v>1500</v>
      </c>
      <c r="E49" s="3" t="s">
        <v>81</v>
      </c>
      <c r="F49" s="3" t="s">
        <v>81</v>
      </c>
    </row>
    <row r="50" spans="1:26" ht="15.75" customHeight="1" x14ac:dyDescent="0.3">
      <c r="A50" s="22" t="s">
        <v>49</v>
      </c>
      <c r="C50" s="13">
        <v>15400</v>
      </c>
      <c r="E50" s="3" t="s">
        <v>81</v>
      </c>
      <c r="F50" s="3" t="s">
        <v>81</v>
      </c>
    </row>
    <row r="51" spans="1:26" ht="15.75" customHeight="1" x14ac:dyDescent="0.3">
      <c r="A51" s="22" t="s">
        <v>99</v>
      </c>
      <c r="C51" s="13">
        <v>3800</v>
      </c>
      <c r="E51" s="3" t="s">
        <v>81</v>
      </c>
      <c r="F51" s="3" t="s">
        <v>81</v>
      </c>
    </row>
    <row r="52" spans="1:26" ht="15.75" customHeight="1" x14ac:dyDescent="0.3">
      <c r="A52" s="62" t="s">
        <v>106</v>
      </c>
      <c r="B52" s="63"/>
      <c r="C52" s="64">
        <f>SUM(C46:C51)</f>
        <v>29010</v>
      </c>
    </row>
    <row r="53" spans="1:26" ht="15.75" customHeight="1" x14ac:dyDescent="0.3">
      <c r="A53" s="8" t="s">
        <v>20</v>
      </c>
      <c r="B53" s="8"/>
      <c r="C53" s="67">
        <f>C43+C52</f>
        <v>57704.58</v>
      </c>
    </row>
    <row r="54" spans="1:26" ht="15.75" customHeight="1" x14ac:dyDescent="0.3">
      <c r="C54" s="2"/>
    </row>
    <row r="55" spans="1:26" ht="15.75" customHeight="1" x14ac:dyDescent="0.3">
      <c r="A55" s="40" t="s">
        <v>116</v>
      </c>
      <c r="B55" s="44"/>
      <c r="C55" s="46"/>
      <c r="D55" s="44"/>
      <c r="E55" s="44"/>
      <c r="F55" s="44"/>
      <c r="G55" s="44"/>
      <c r="H55" s="44"/>
      <c r="I55" s="44"/>
      <c r="J55" s="44"/>
      <c r="K55" s="44"/>
      <c r="L55" s="44"/>
      <c r="M55" s="44"/>
      <c r="N55" s="44"/>
      <c r="O55" s="44"/>
      <c r="P55" s="44"/>
      <c r="Q55" s="44"/>
      <c r="R55" s="44"/>
      <c r="S55" s="44"/>
      <c r="T55" s="44"/>
      <c r="U55" s="44"/>
      <c r="V55" s="44"/>
      <c r="W55" s="44"/>
      <c r="X55" s="44"/>
      <c r="Y55" s="44"/>
      <c r="Z55" s="44"/>
    </row>
    <row r="56" spans="1:26" ht="15.75" customHeight="1" x14ac:dyDescent="0.3">
      <c r="C56" s="2" t="s">
        <v>109</v>
      </c>
      <c r="D56" s="3" t="s">
        <v>111</v>
      </c>
      <c r="G56" s="8" t="s">
        <v>112</v>
      </c>
    </row>
    <row r="57" spans="1:26" ht="15.75" customHeight="1" x14ac:dyDescent="0.3">
      <c r="A57" s="3" t="s">
        <v>113</v>
      </c>
      <c r="C57" s="2">
        <v>99405</v>
      </c>
      <c r="D57" s="2">
        <v>99405</v>
      </c>
      <c r="E57" s="2"/>
    </row>
    <row r="58" spans="1:26" ht="15.75" customHeight="1" x14ac:dyDescent="0.3">
      <c r="A58" s="3" t="s">
        <v>114</v>
      </c>
      <c r="C58" s="2">
        <v>60450</v>
      </c>
      <c r="D58" s="2">
        <v>60450</v>
      </c>
      <c r="E58" s="2"/>
      <c r="G58" s="81" t="s">
        <v>115</v>
      </c>
    </row>
    <row r="59" spans="1:26" ht="15.75" customHeight="1" x14ac:dyDescent="0.3">
      <c r="A59" s="3" t="s">
        <v>117</v>
      </c>
      <c r="C59" s="2">
        <f>0.2*C13</f>
        <v>127000</v>
      </c>
      <c r="D59" s="2">
        <f>0.4*C15</f>
        <v>282600</v>
      </c>
      <c r="E59" s="2"/>
      <c r="F59" s="3" t="s">
        <v>119</v>
      </c>
      <c r="G59" s="81" t="s">
        <v>120</v>
      </c>
    </row>
    <row r="60" spans="1:26" ht="15.75" customHeight="1" x14ac:dyDescent="0.3">
      <c r="A60" s="3" t="s">
        <v>121</v>
      </c>
      <c r="C60" s="2"/>
      <c r="G60" s="81" t="s">
        <v>122</v>
      </c>
    </row>
    <row r="61" spans="1:26" ht="15.75" customHeight="1" x14ac:dyDescent="0.3">
      <c r="A61" s="3" t="s">
        <v>123</v>
      </c>
      <c r="C61" s="2">
        <f t="shared" ref="C61:D61" si="4">0.8*$C$36+0.65*$C$34+13950</f>
        <v>34373</v>
      </c>
      <c r="D61" s="2">
        <f t="shared" si="4"/>
        <v>34373</v>
      </c>
      <c r="F61" s="3" t="s">
        <v>119</v>
      </c>
      <c r="G61" s="83" t="s">
        <v>124</v>
      </c>
    </row>
    <row r="62" spans="1:26" ht="15.75" customHeight="1" x14ac:dyDescent="0.3">
      <c r="A62" s="3" t="s">
        <v>125</v>
      </c>
      <c r="C62" s="2"/>
      <c r="G62" s="81" t="s">
        <v>122</v>
      </c>
    </row>
    <row r="63" spans="1:26" ht="15.75" customHeight="1" x14ac:dyDescent="0.3">
      <c r="A63" s="3" t="s">
        <v>49</v>
      </c>
      <c r="C63" s="2">
        <v>25000</v>
      </c>
      <c r="D63" s="2">
        <v>25000</v>
      </c>
      <c r="E63" s="2"/>
      <c r="G63" s="83"/>
    </row>
    <row r="64" spans="1:26" ht="15.75" customHeight="1" x14ac:dyDescent="0.3">
      <c r="A64" s="3" t="s">
        <v>127</v>
      </c>
      <c r="C64" s="2">
        <f>0.5*125000</f>
        <v>62500</v>
      </c>
      <c r="D64" s="34">
        <v>124000</v>
      </c>
      <c r="F64" s="3" t="s">
        <v>119</v>
      </c>
      <c r="G64" s="83" t="s">
        <v>128</v>
      </c>
    </row>
    <row r="65" spans="1:7" ht="15.75" customHeight="1" x14ac:dyDescent="0.3">
      <c r="A65" s="3" t="s">
        <v>129</v>
      </c>
      <c r="C65" s="2">
        <v>10000</v>
      </c>
      <c r="D65" s="34">
        <v>10000</v>
      </c>
      <c r="F65" s="3" t="s">
        <v>130</v>
      </c>
      <c r="G65" s="83" t="s">
        <v>135</v>
      </c>
    </row>
    <row r="66" spans="1:7" ht="15.75" customHeight="1" x14ac:dyDescent="0.3">
      <c r="A66" s="3" t="s">
        <v>132</v>
      </c>
      <c r="C66" s="2">
        <v>5000</v>
      </c>
      <c r="D66" s="2">
        <v>5000</v>
      </c>
      <c r="E66" s="2"/>
      <c r="F66" s="3" t="s">
        <v>133</v>
      </c>
    </row>
    <row r="67" spans="1:7" ht="15.75" customHeight="1" x14ac:dyDescent="0.3">
      <c r="A67" s="85" t="s">
        <v>136</v>
      </c>
      <c r="C67" s="2"/>
      <c r="D67" s="2"/>
      <c r="E67" s="2"/>
      <c r="F67" s="2"/>
    </row>
    <row r="68" spans="1:7" ht="15.75" customHeight="1" x14ac:dyDescent="0.3">
      <c r="A68" s="85" t="s">
        <v>138</v>
      </c>
      <c r="C68" s="2"/>
      <c r="D68" s="34"/>
    </row>
    <row r="69" spans="1:7" ht="15.75" customHeight="1" x14ac:dyDescent="0.3">
      <c r="A69" s="85" t="s">
        <v>140</v>
      </c>
      <c r="C69" s="2"/>
    </row>
    <row r="70" spans="1:7" ht="15.75" customHeight="1" x14ac:dyDescent="0.3">
      <c r="A70" s="85" t="s">
        <v>141</v>
      </c>
      <c r="B70" s="8"/>
      <c r="C70" s="9"/>
      <c r="D70" s="8"/>
    </row>
    <row r="71" spans="1:7" ht="15.75" customHeight="1" x14ac:dyDescent="0.3">
      <c r="A71" s="85" t="s">
        <v>144</v>
      </c>
      <c r="C71" s="2"/>
    </row>
    <row r="72" spans="1:7" ht="15.75" customHeight="1" x14ac:dyDescent="0.3">
      <c r="A72" s="86" t="s">
        <v>143</v>
      </c>
      <c r="B72" s="87"/>
      <c r="C72" s="89">
        <f t="shared" ref="C72:D72" si="5">SUM(C57:C71)</f>
        <v>423728</v>
      </c>
      <c r="D72" s="90">
        <f t="shared" si="5"/>
        <v>640828</v>
      </c>
      <c r="E72" s="2"/>
    </row>
    <row r="73" spans="1:7" ht="15.75" customHeight="1" x14ac:dyDescent="0.3">
      <c r="C73" s="2"/>
      <c r="D73" s="3" t="s">
        <v>151</v>
      </c>
    </row>
    <row r="74" spans="1:7" ht="15.75" customHeight="1" x14ac:dyDescent="0.3">
      <c r="A74" s="3" t="s">
        <v>153</v>
      </c>
      <c r="C74" s="2"/>
      <c r="D74" s="9">
        <f>0.8*C15</f>
        <v>565200</v>
      </c>
    </row>
    <row r="75" spans="1:7" ht="15.75" customHeight="1" x14ac:dyDescent="0.3">
      <c r="C75" s="2"/>
    </row>
    <row r="76" spans="1:7" ht="15.75" customHeight="1" x14ac:dyDescent="0.3">
      <c r="C76" s="2"/>
      <c r="F76" s="3" t="s">
        <v>152</v>
      </c>
    </row>
    <row r="77" spans="1:7" ht="15.75" customHeight="1" x14ac:dyDescent="0.3">
      <c r="C77" s="2"/>
    </row>
    <row r="78" spans="1:7" ht="15.75" hidden="1" customHeight="1" x14ac:dyDescent="0.3">
      <c r="A78" s="3" t="s">
        <v>154</v>
      </c>
      <c r="C78" s="2"/>
    </row>
    <row r="79" spans="1:7" ht="15.75" hidden="1" customHeight="1" x14ac:dyDescent="0.3">
      <c r="C79" s="2"/>
    </row>
    <row r="80" spans="1:7" ht="15.75" hidden="1" customHeight="1" x14ac:dyDescent="0.3">
      <c r="A80" s="3" t="s">
        <v>155</v>
      </c>
      <c r="C80" s="2">
        <v>8000</v>
      </c>
    </row>
    <row r="81" spans="3:3" ht="15.75" hidden="1" customHeight="1" x14ac:dyDescent="0.3">
      <c r="C81" s="2">
        <f>0.5*(C46+C47+C48+C49+C50+C51)</f>
        <v>14505</v>
      </c>
    </row>
    <row r="82" spans="3:3" ht="15.75" customHeight="1" x14ac:dyDescent="0.3">
      <c r="C82" s="2"/>
    </row>
    <row r="83" spans="3:3" ht="15.75" customHeight="1" x14ac:dyDescent="0.3">
      <c r="C83" s="2"/>
    </row>
    <row r="84" spans="3:3" ht="15.75" customHeight="1" x14ac:dyDescent="0.3">
      <c r="C84" s="2"/>
    </row>
    <row r="85" spans="3:3" ht="15.75" customHeight="1" x14ac:dyDescent="0.3">
      <c r="C85" s="2"/>
    </row>
    <row r="86" spans="3:3" ht="15.75" customHeight="1" x14ac:dyDescent="0.3">
      <c r="C86" s="2"/>
    </row>
    <row r="87" spans="3:3" ht="15.75" customHeight="1" x14ac:dyDescent="0.3">
      <c r="C87" s="2"/>
    </row>
    <row r="88" spans="3:3" ht="15.75" customHeight="1" x14ac:dyDescent="0.3">
      <c r="C88" s="2"/>
    </row>
    <row r="89" spans="3:3" ht="15.75" customHeight="1" x14ac:dyDescent="0.3">
      <c r="C89" s="2"/>
    </row>
    <row r="90" spans="3:3" ht="15.75" customHeight="1" x14ac:dyDescent="0.3">
      <c r="C90" s="2"/>
    </row>
    <row r="91" spans="3:3" ht="15.75" customHeight="1" x14ac:dyDescent="0.3">
      <c r="C91" s="2"/>
    </row>
    <row r="92" spans="3:3" ht="15.75" customHeight="1" x14ac:dyDescent="0.3">
      <c r="C92" s="2"/>
    </row>
    <row r="93" spans="3:3" ht="15.75" customHeight="1" x14ac:dyDescent="0.3">
      <c r="C93" s="2"/>
    </row>
    <row r="94" spans="3:3" ht="15.75" customHeight="1" x14ac:dyDescent="0.3">
      <c r="C94" s="2"/>
    </row>
    <row r="95" spans="3:3" ht="15.75" customHeight="1" x14ac:dyDescent="0.3">
      <c r="C95" s="2"/>
    </row>
    <row r="96" spans="3:3" ht="15.75" customHeight="1" x14ac:dyDescent="0.3">
      <c r="C96" s="2"/>
    </row>
    <row r="97" spans="3:3" ht="15.75" customHeight="1" x14ac:dyDescent="0.3">
      <c r="C97" s="2"/>
    </row>
    <row r="98" spans="3:3" ht="15.75" customHeight="1" x14ac:dyDescent="0.3">
      <c r="C98" s="2"/>
    </row>
    <row r="99" spans="3:3" ht="15.75" customHeight="1" x14ac:dyDescent="0.3">
      <c r="C99" s="2"/>
    </row>
    <row r="100" spans="3:3" ht="15.75" customHeight="1" x14ac:dyDescent="0.3">
      <c r="C100" s="2"/>
    </row>
    <row r="101" spans="3:3" ht="15.75" customHeight="1" x14ac:dyDescent="0.3">
      <c r="C101" s="2"/>
    </row>
    <row r="102" spans="3:3" ht="15.75" customHeight="1" x14ac:dyDescent="0.3">
      <c r="C102" s="2"/>
    </row>
    <row r="103" spans="3:3" ht="15.75" customHeight="1" x14ac:dyDescent="0.3">
      <c r="C103" s="2"/>
    </row>
    <row r="104" spans="3:3" ht="15.75" customHeight="1" x14ac:dyDescent="0.3">
      <c r="C104" s="2"/>
    </row>
    <row r="105" spans="3:3" ht="15.75" customHeight="1" x14ac:dyDescent="0.3">
      <c r="C105" s="2"/>
    </row>
    <row r="106" spans="3:3" ht="15.75" customHeight="1" x14ac:dyDescent="0.3">
      <c r="C106" s="2"/>
    </row>
    <row r="107" spans="3:3" ht="15.75" customHeight="1" x14ac:dyDescent="0.3">
      <c r="C107" s="2"/>
    </row>
    <row r="108" spans="3:3" ht="15.75" customHeight="1" x14ac:dyDescent="0.3">
      <c r="C108" s="2"/>
    </row>
    <row r="109" spans="3:3" ht="15.75" customHeight="1" x14ac:dyDescent="0.3">
      <c r="C109" s="2"/>
    </row>
    <row r="110" spans="3:3" ht="15.75" customHeight="1" x14ac:dyDescent="0.3">
      <c r="C110" s="2"/>
    </row>
    <row r="111" spans="3:3" ht="15.75" customHeight="1" x14ac:dyDescent="0.3">
      <c r="C111" s="2"/>
    </row>
    <row r="112" spans="3:3" ht="15.75" customHeight="1" x14ac:dyDescent="0.3">
      <c r="C112" s="2"/>
    </row>
    <row r="113" spans="3:3" ht="15.75" customHeight="1" x14ac:dyDescent="0.3">
      <c r="C113" s="2"/>
    </row>
    <row r="114" spans="3:3" ht="15.75" customHeight="1" x14ac:dyDescent="0.3">
      <c r="C114" s="2"/>
    </row>
    <row r="115" spans="3:3" ht="15.75" customHeight="1" x14ac:dyDescent="0.3">
      <c r="C115" s="2"/>
    </row>
    <row r="116" spans="3:3" ht="15.75" customHeight="1" x14ac:dyDescent="0.3">
      <c r="C116" s="2"/>
    </row>
    <row r="117" spans="3:3" ht="15.75" customHeight="1" x14ac:dyDescent="0.3">
      <c r="C117" s="2"/>
    </row>
    <row r="118" spans="3:3" ht="15.75" customHeight="1" x14ac:dyDescent="0.3">
      <c r="C118" s="2"/>
    </row>
    <row r="119" spans="3:3" ht="15.75" customHeight="1" x14ac:dyDescent="0.3">
      <c r="C119" s="2"/>
    </row>
    <row r="120" spans="3:3" ht="15.75" customHeight="1" x14ac:dyDescent="0.3">
      <c r="C120" s="2"/>
    </row>
    <row r="121" spans="3:3" ht="15.75" customHeight="1" x14ac:dyDescent="0.3">
      <c r="C121" s="2"/>
    </row>
    <row r="122" spans="3:3" ht="15.75" customHeight="1" x14ac:dyDescent="0.3">
      <c r="C122" s="2"/>
    </row>
    <row r="123" spans="3:3" ht="15.75" customHeight="1" x14ac:dyDescent="0.3">
      <c r="C123" s="2"/>
    </row>
    <row r="124" spans="3:3" ht="15.75" customHeight="1" x14ac:dyDescent="0.3">
      <c r="C124" s="2"/>
    </row>
    <row r="125" spans="3:3" ht="15.75" customHeight="1" x14ac:dyDescent="0.3">
      <c r="C125" s="2"/>
    </row>
    <row r="126" spans="3:3" ht="15.75" customHeight="1" x14ac:dyDescent="0.3">
      <c r="C126" s="2"/>
    </row>
    <row r="127" spans="3:3" ht="15.75" customHeight="1" x14ac:dyDescent="0.3">
      <c r="C127" s="2"/>
    </row>
    <row r="128" spans="3:3" ht="15.75" customHeight="1" x14ac:dyDescent="0.3">
      <c r="C128" s="2"/>
    </row>
    <row r="129" spans="3:3" ht="15.75" customHeight="1" x14ac:dyDescent="0.3">
      <c r="C129" s="2"/>
    </row>
    <row r="130" spans="3:3" ht="15.75" customHeight="1" x14ac:dyDescent="0.3">
      <c r="C130" s="2"/>
    </row>
    <row r="131" spans="3:3" ht="15.75" customHeight="1" x14ac:dyDescent="0.3">
      <c r="C131" s="2"/>
    </row>
    <row r="132" spans="3:3" ht="15.75" customHeight="1" x14ac:dyDescent="0.3">
      <c r="C132" s="2"/>
    </row>
    <row r="133" spans="3:3" ht="15.75" customHeight="1" x14ac:dyDescent="0.3">
      <c r="C133" s="2"/>
    </row>
    <row r="134" spans="3:3" ht="15.75" customHeight="1" x14ac:dyDescent="0.3">
      <c r="C134" s="2"/>
    </row>
    <row r="135" spans="3:3" ht="15.75" customHeight="1" x14ac:dyDescent="0.3">
      <c r="C135" s="2"/>
    </row>
    <row r="136" spans="3:3" ht="15.75" customHeight="1" x14ac:dyDescent="0.3">
      <c r="C136" s="2"/>
    </row>
    <row r="137" spans="3:3" ht="15.75" customHeight="1" x14ac:dyDescent="0.3">
      <c r="C137" s="2"/>
    </row>
    <row r="138" spans="3:3" ht="15.75" customHeight="1" x14ac:dyDescent="0.3">
      <c r="C138" s="2"/>
    </row>
    <row r="139" spans="3:3" ht="15.75" customHeight="1" x14ac:dyDescent="0.3">
      <c r="C139" s="2"/>
    </row>
    <row r="140" spans="3:3" ht="15.75" customHeight="1" x14ac:dyDescent="0.3">
      <c r="C140" s="2"/>
    </row>
    <row r="141" spans="3:3" ht="15.75" customHeight="1" x14ac:dyDescent="0.3">
      <c r="C141" s="2"/>
    </row>
    <row r="142" spans="3:3" ht="15.75" customHeight="1" x14ac:dyDescent="0.3">
      <c r="C142" s="2"/>
    </row>
    <row r="143" spans="3:3" ht="15.75" customHeight="1" x14ac:dyDescent="0.3">
      <c r="C143" s="2"/>
    </row>
    <row r="144" spans="3:3" ht="15.75" customHeight="1" x14ac:dyDescent="0.3">
      <c r="C144" s="2"/>
    </row>
    <row r="145" spans="3:3" ht="15.75" customHeight="1" x14ac:dyDescent="0.3">
      <c r="C145" s="2"/>
    </row>
    <row r="146" spans="3:3" ht="15.75" customHeight="1" x14ac:dyDescent="0.3">
      <c r="C146" s="2"/>
    </row>
    <row r="147" spans="3:3" ht="15.75" customHeight="1" x14ac:dyDescent="0.3">
      <c r="C147" s="2"/>
    </row>
    <row r="148" spans="3:3" ht="15.75" customHeight="1" x14ac:dyDescent="0.3">
      <c r="C148" s="2"/>
    </row>
    <row r="149" spans="3:3" ht="15.75" customHeight="1" x14ac:dyDescent="0.3">
      <c r="C149" s="2"/>
    </row>
    <row r="150" spans="3:3" ht="15.75" customHeight="1" x14ac:dyDescent="0.3">
      <c r="C150" s="2"/>
    </row>
    <row r="151" spans="3:3" ht="15.75" customHeight="1" x14ac:dyDescent="0.3">
      <c r="C151" s="2"/>
    </row>
    <row r="152" spans="3:3" ht="15.75" customHeight="1" x14ac:dyDescent="0.3">
      <c r="C152" s="2"/>
    </row>
    <row r="153" spans="3:3" ht="15.75" customHeight="1" x14ac:dyDescent="0.3">
      <c r="C153" s="2"/>
    </row>
    <row r="154" spans="3:3" ht="15.75" customHeight="1" x14ac:dyDescent="0.3">
      <c r="C154" s="2"/>
    </row>
    <row r="155" spans="3:3" ht="15.75" customHeight="1" x14ac:dyDescent="0.3">
      <c r="C155" s="2"/>
    </row>
    <row r="156" spans="3:3" ht="15.75" customHeight="1" x14ac:dyDescent="0.3">
      <c r="C156" s="2"/>
    </row>
    <row r="157" spans="3:3" ht="15.75" customHeight="1" x14ac:dyDescent="0.3">
      <c r="C157" s="2"/>
    </row>
    <row r="158" spans="3:3" ht="15.75" customHeight="1" x14ac:dyDescent="0.3">
      <c r="C158" s="2"/>
    </row>
    <row r="159" spans="3:3" ht="15.75" customHeight="1" x14ac:dyDescent="0.3">
      <c r="C159" s="2"/>
    </row>
    <row r="160" spans="3:3" ht="15.75" customHeight="1" x14ac:dyDescent="0.3">
      <c r="C160" s="2"/>
    </row>
    <row r="161" spans="3:3" ht="15.75" customHeight="1" x14ac:dyDescent="0.3">
      <c r="C161" s="2"/>
    </row>
    <row r="162" spans="3:3" ht="15.75" customHeight="1" x14ac:dyDescent="0.3">
      <c r="C162" s="2"/>
    </row>
    <row r="163" spans="3:3" ht="15.75" customHeight="1" x14ac:dyDescent="0.3">
      <c r="C163" s="2"/>
    </row>
    <row r="164" spans="3:3" ht="15.75" customHeight="1" x14ac:dyDescent="0.3">
      <c r="C164" s="2"/>
    </row>
    <row r="165" spans="3:3" ht="15.75" customHeight="1" x14ac:dyDescent="0.3">
      <c r="C165" s="2"/>
    </row>
    <row r="166" spans="3:3" ht="15.75" customHeight="1" x14ac:dyDescent="0.3">
      <c r="C166" s="2"/>
    </row>
    <row r="167" spans="3:3" ht="15.75" customHeight="1" x14ac:dyDescent="0.3">
      <c r="C167" s="2"/>
    </row>
    <row r="168" spans="3:3" ht="15.75" customHeight="1" x14ac:dyDescent="0.3">
      <c r="C168" s="2"/>
    </row>
    <row r="169" spans="3:3" ht="15.75" customHeight="1" x14ac:dyDescent="0.3">
      <c r="C169" s="2"/>
    </row>
    <row r="170" spans="3:3" ht="15.75" customHeight="1" x14ac:dyDescent="0.3">
      <c r="C170" s="2"/>
    </row>
    <row r="171" spans="3:3" ht="15.75" customHeight="1" x14ac:dyDescent="0.3">
      <c r="C171" s="2"/>
    </row>
    <row r="172" spans="3:3" ht="15.75" customHeight="1" x14ac:dyDescent="0.3">
      <c r="C172" s="2"/>
    </row>
    <row r="173" spans="3:3" ht="15.75" customHeight="1" x14ac:dyDescent="0.3">
      <c r="C173" s="2"/>
    </row>
    <row r="174" spans="3:3" ht="15.75" customHeight="1" x14ac:dyDescent="0.3">
      <c r="C174" s="2"/>
    </row>
    <row r="175" spans="3:3" ht="15.75" customHeight="1" x14ac:dyDescent="0.3">
      <c r="C175" s="2"/>
    </row>
    <row r="176" spans="3:3" ht="15.75" customHeight="1" x14ac:dyDescent="0.3">
      <c r="C176" s="2"/>
    </row>
    <row r="177" spans="3:3" ht="15.75" customHeight="1" x14ac:dyDescent="0.3">
      <c r="C177" s="2"/>
    </row>
    <row r="178" spans="3:3" ht="15.75" customHeight="1" x14ac:dyDescent="0.3">
      <c r="C178" s="2"/>
    </row>
    <row r="179" spans="3:3" ht="15.75" customHeight="1" x14ac:dyDescent="0.3">
      <c r="C179" s="2"/>
    </row>
    <row r="180" spans="3:3" ht="15.75" customHeight="1" x14ac:dyDescent="0.3">
      <c r="C180" s="2"/>
    </row>
    <row r="181" spans="3:3" ht="15.75" customHeight="1" x14ac:dyDescent="0.3">
      <c r="C181" s="2"/>
    </row>
    <row r="182" spans="3:3" ht="15.75" customHeight="1" x14ac:dyDescent="0.3">
      <c r="C182" s="2"/>
    </row>
    <row r="183" spans="3:3" ht="15.75" customHeight="1" x14ac:dyDescent="0.3">
      <c r="C183" s="2"/>
    </row>
    <row r="184" spans="3:3" ht="15.75" customHeight="1" x14ac:dyDescent="0.3">
      <c r="C184" s="2"/>
    </row>
    <row r="185" spans="3:3" ht="15.75" customHeight="1" x14ac:dyDescent="0.3">
      <c r="C185" s="2"/>
    </row>
    <row r="186" spans="3:3" ht="15.75" customHeight="1" x14ac:dyDescent="0.3">
      <c r="C186" s="2"/>
    </row>
    <row r="187" spans="3:3" ht="15.75" customHeight="1" x14ac:dyDescent="0.3">
      <c r="C187" s="2"/>
    </row>
    <row r="188" spans="3:3" ht="15.75" customHeight="1" x14ac:dyDescent="0.3">
      <c r="C188" s="2"/>
    </row>
    <row r="189" spans="3:3" ht="15.75" customHeight="1" x14ac:dyDescent="0.3">
      <c r="C189" s="2"/>
    </row>
    <row r="190" spans="3:3" ht="15.75" customHeight="1" x14ac:dyDescent="0.3">
      <c r="C190" s="2"/>
    </row>
    <row r="191" spans="3:3" ht="15.75" customHeight="1" x14ac:dyDescent="0.3">
      <c r="C191" s="2"/>
    </row>
    <row r="192" spans="3:3" ht="15.75" customHeight="1" x14ac:dyDescent="0.3">
      <c r="C192" s="2"/>
    </row>
    <row r="193" spans="3:3" ht="15.75" customHeight="1" x14ac:dyDescent="0.3">
      <c r="C193" s="2"/>
    </row>
    <row r="194" spans="3:3" ht="15.75" customHeight="1" x14ac:dyDescent="0.3">
      <c r="C194" s="2"/>
    </row>
    <row r="195" spans="3:3" ht="15.75" customHeight="1" x14ac:dyDescent="0.3">
      <c r="C195" s="2"/>
    </row>
    <row r="196" spans="3:3" ht="15.75" customHeight="1" x14ac:dyDescent="0.3">
      <c r="C196" s="2"/>
    </row>
    <row r="197" spans="3:3" ht="15.75" customHeight="1" x14ac:dyDescent="0.3">
      <c r="C197" s="2"/>
    </row>
    <row r="198" spans="3:3" ht="15.75" customHeight="1" x14ac:dyDescent="0.3">
      <c r="C198" s="2"/>
    </row>
    <row r="199" spans="3:3" ht="15.75" customHeight="1" x14ac:dyDescent="0.3">
      <c r="C199" s="2"/>
    </row>
    <row r="200" spans="3:3" ht="15.75" customHeight="1" x14ac:dyDescent="0.3">
      <c r="C200" s="2"/>
    </row>
    <row r="201" spans="3:3" ht="15.75" customHeight="1" x14ac:dyDescent="0.3">
      <c r="C201" s="2"/>
    </row>
    <row r="202" spans="3:3" ht="15.75" customHeight="1" x14ac:dyDescent="0.3">
      <c r="C202" s="2"/>
    </row>
    <row r="203" spans="3:3" ht="15.75" customHeight="1" x14ac:dyDescent="0.3">
      <c r="C203" s="2"/>
    </row>
    <row r="204" spans="3:3" ht="15.75" customHeight="1" x14ac:dyDescent="0.3">
      <c r="C204" s="2"/>
    </row>
    <row r="205" spans="3:3" ht="15.75" customHeight="1" x14ac:dyDescent="0.3">
      <c r="C205" s="2"/>
    </row>
    <row r="206" spans="3:3" ht="15.75" customHeight="1" x14ac:dyDescent="0.3">
      <c r="C206" s="2"/>
    </row>
    <row r="207" spans="3:3" ht="15.75" customHeight="1" x14ac:dyDescent="0.3">
      <c r="C207" s="2"/>
    </row>
    <row r="208" spans="3:3" ht="15.75" customHeight="1" x14ac:dyDescent="0.3">
      <c r="C208" s="2"/>
    </row>
    <row r="209" spans="3:3" ht="15.75" customHeight="1" x14ac:dyDescent="0.3">
      <c r="C209" s="2"/>
    </row>
    <row r="210" spans="3:3" ht="15.75" customHeight="1" x14ac:dyDescent="0.3">
      <c r="C210" s="2"/>
    </row>
    <row r="211" spans="3:3" ht="15.75" customHeight="1" x14ac:dyDescent="0.3">
      <c r="C211" s="2"/>
    </row>
    <row r="212" spans="3:3" ht="15.75" customHeight="1" x14ac:dyDescent="0.3">
      <c r="C212" s="2"/>
    </row>
    <row r="213" spans="3:3" ht="15.75" customHeight="1" x14ac:dyDescent="0.3">
      <c r="C213" s="2"/>
    </row>
    <row r="214" spans="3:3" ht="15.75" customHeight="1" x14ac:dyDescent="0.3">
      <c r="C214" s="2"/>
    </row>
    <row r="215" spans="3:3" ht="15.75" customHeight="1" x14ac:dyDescent="0.3">
      <c r="C215" s="2"/>
    </row>
    <row r="216" spans="3:3" ht="15.75" customHeight="1" x14ac:dyDescent="0.3">
      <c r="C216" s="2"/>
    </row>
    <row r="217" spans="3:3" ht="15.75" customHeight="1" x14ac:dyDescent="0.3">
      <c r="C217" s="2"/>
    </row>
    <row r="218" spans="3:3" ht="15.75" customHeight="1" x14ac:dyDescent="0.3">
      <c r="C218" s="2"/>
    </row>
    <row r="219" spans="3:3" ht="15.75" customHeight="1" x14ac:dyDescent="0.3">
      <c r="C219" s="2"/>
    </row>
    <row r="220" spans="3:3" ht="15.75" customHeight="1" x14ac:dyDescent="0.3">
      <c r="C220" s="2"/>
    </row>
    <row r="221" spans="3:3" ht="15.75" customHeight="1" x14ac:dyDescent="0.3">
      <c r="C221" s="2"/>
    </row>
    <row r="222" spans="3:3" ht="15.75" customHeight="1" x14ac:dyDescent="0.3">
      <c r="C222" s="2"/>
    </row>
    <row r="223" spans="3:3" ht="15.75" customHeight="1" x14ac:dyDescent="0.3">
      <c r="C223" s="2"/>
    </row>
    <row r="224" spans="3:3" ht="15.75" customHeight="1" x14ac:dyDescent="0.3">
      <c r="C224" s="2"/>
    </row>
    <row r="225" spans="3:3" ht="15.75" customHeight="1" x14ac:dyDescent="0.3">
      <c r="C225" s="2"/>
    </row>
    <row r="226" spans="3:3" ht="15.75" customHeight="1" x14ac:dyDescent="0.3">
      <c r="C226" s="2"/>
    </row>
    <row r="227" spans="3:3" ht="15.75" customHeight="1" x14ac:dyDescent="0.3">
      <c r="C227" s="2"/>
    </row>
    <row r="228" spans="3:3" ht="15.75" customHeight="1" x14ac:dyDescent="0.3">
      <c r="C228" s="2"/>
    </row>
    <row r="229" spans="3:3" ht="15.75" customHeight="1" x14ac:dyDescent="0.3">
      <c r="C229" s="2"/>
    </row>
    <row r="230" spans="3:3" ht="15.75" customHeight="1" x14ac:dyDescent="0.3">
      <c r="C230" s="2"/>
    </row>
    <row r="231" spans="3:3" ht="15.75" customHeight="1" x14ac:dyDescent="0.3">
      <c r="C231" s="2"/>
    </row>
    <row r="232" spans="3:3" ht="15.75" customHeight="1" x14ac:dyDescent="0.3">
      <c r="C232" s="2"/>
    </row>
    <row r="233" spans="3:3" ht="15.75" customHeight="1" x14ac:dyDescent="0.3">
      <c r="C233" s="2"/>
    </row>
    <row r="234" spans="3:3" ht="15.75" customHeight="1" x14ac:dyDescent="0.3">
      <c r="C234" s="2"/>
    </row>
    <row r="235" spans="3:3" ht="15.75" customHeight="1" x14ac:dyDescent="0.3">
      <c r="C235" s="2"/>
    </row>
    <row r="236" spans="3:3" ht="15.75" customHeight="1" x14ac:dyDescent="0.3">
      <c r="C236" s="2"/>
    </row>
    <row r="237" spans="3:3" ht="15.75" customHeight="1" x14ac:dyDescent="0.3">
      <c r="C237" s="2"/>
    </row>
    <row r="238" spans="3:3" ht="15.75" customHeight="1" x14ac:dyDescent="0.3">
      <c r="C238" s="2"/>
    </row>
    <row r="239" spans="3:3" ht="15.75" customHeight="1" x14ac:dyDescent="0.3">
      <c r="C239" s="2"/>
    </row>
    <row r="240" spans="3:3" ht="15.75" customHeight="1" x14ac:dyDescent="0.3">
      <c r="C240" s="2"/>
    </row>
    <row r="241" spans="3:3" ht="15.75" customHeight="1" x14ac:dyDescent="0.3">
      <c r="C241" s="2"/>
    </row>
    <row r="242" spans="3:3" ht="15.75" customHeight="1" x14ac:dyDescent="0.3">
      <c r="C242" s="2"/>
    </row>
    <row r="243" spans="3:3" ht="15.75" customHeight="1" x14ac:dyDescent="0.3">
      <c r="C243" s="2"/>
    </row>
    <row r="244" spans="3:3" ht="15.75" customHeight="1" x14ac:dyDescent="0.3">
      <c r="C244" s="2"/>
    </row>
    <row r="245" spans="3:3" ht="15.75" customHeight="1" x14ac:dyDescent="0.3">
      <c r="C245" s="2"/>
    </row>
    <row r="246" spans="3:3" ht="15.75" customHeight="1" x14ac:dyDescent="0.3">
      <c r="C246" s="2"/>
    </row>
    <row r="247" spans="3:3" ht="15.75" customHeight="1" x14ac:dyDescent="0.3">
      <c r="C247" s="2"/>
    </row>
    <row r="248" spans="3:3" ht="15.75" customHeight="1" x14ac:dyDescent="0.3">
      <c r="C248" s="2"/>
    </row>
    <row r="249" spans="3:3" ht="15.75" customHeight="1" x14ac:dyDescent="0.3">
      <c r="C249" s="2"/>
    </row>
    <row r="250" spans="3:3" ht="15.75" customHeight="1" x14ac:dyDescent="0.3">
      <c r="C250" s="2"/>
    </row>
    <row r="251" spans="3:3" ht="15.75" customHeight="1" x14ac:dyDescent="0.3">
      <c r="C251" s="2"/>
    </row>
    <row r="252" spans="3:3" ht="15.75" customHeight="1" x14ac:dyDescent="0.3">
      <c r="C252" s="2"/>
    </row>
    <row r="253" spans="3:3" ht="15.75" customHeight="1" x14ac:dyDescent="0.3">
      <c r="C253" s="2"/>
    </row>
    <row r="254" spans="3:3" ht="15.75" customHeight="1" x14ac:dyDescent="0.3">
      <c r="C254" s="2"/>
    </row>
    <row r="255" spans="3:3" ht="15.75" customHeight="1" x14ac:dyDescent="0.3">
      <c r="C255" s="2"/>
    </row>
    <row r="256" spans="3:3" ht="15.75" customHeight="1" x14ac:dyDescent="0.3">
      <c r="C256" s="2"/>
    </row>
    <row r="257" spans="3:3" ht="15.75" customHeight="1" x14ac:dyDescent="0.3">
      <c r="C257" s="2"/>
    </row>
    <row r="258" spans="3:3" ht="15.75" customHeight="1" x14ac:dyDescent="0.3">
      <c r="C258" s="2"/>
    </row>
    <row r="259" spans="3:3" ht="15.75" customHeight="1" x14ac:dyDescent="0.3">
      <c r="C259" s="2"/>
    </row>
    <row r="260" spans="3:3" ht="15.75" customHeight="1" x14ac:dyDescent="0.3">
      <c r="C260" s="2"/>
    </row>
    <row r="261" spans="3:3" ht="15.75" customHeight="1" x14ac:dyDescent="0.3">
      <c r="C261" s="2"/>
    </row>
    <row r="262" spans="3:3" ht="15.75" customHeight="1" x14ac:dyDescent="0.3">
      <c r="C262" s="2"/>
    </row>
    <row r="263" spans="3:3" ht="15.75" customHeight="1" x14ac:dyDescent="0.3">
      <c r="C263" s="2"/>
    </row>
    <row r="264" spans="3:3" ht="15.75" customHeight="1" x14ac:dyDescent="0.3">
      <c r="C264" s="2"/>
    </row>
    <row r="265" spans="3:3" ht="15.75" customHeight="1" x14ac:dyDescent="0.3">
      <c r="C265" s="2"/>
    </row>
    <row r="266" spans="3:3" ht="15.75" customHeight="1" x14ac:dyDescent="0.3">
      <c r="C266" s="2"/>
    </row>
    <row r="267" spans="3:3" ht="15.75" customHeight="1" x14ac:dyDescent="0.3">
      <c r="C267" s="2"/>
    </row>
    <row r="268" spans="3:3" ht="15.75" customHeight="1" x14ac:dyDescent="0.3">
      <c r="C268" s="2"/>
    </row>
    <row r="269" spans="3:3" ht="15.75" customHeight="1" x14ac:dyDescent="0.3">
      <c r="C269" s="2"/>
    </row>
    <row r="270" spans="3:3" ht="15.75" customHeight="1" x14ac:dyDescent="0.3">
      <c r="C270" s="2"/>
    </row>
    <row r="271" spans="3:3" ht="15.75" customHeight="1" x14ac:dyDescent="0.3">
      <c r="C271" s="2"/>
    </row>
    <row r="272" spans="3:3" ht="15.75" customHeight="1" x14ac:dyDescent="0.3">
      <c r="C272" s="2"/>
    </row>
    <row r="273" spans="3:3" ht="15.75" customHeight="1" x14ac:dyDescent="0.3">
      <c r="C273" s="2"/>
    </row>
    <row r="274" spans="3:3" ht="15.75" customHeight="1" x14ac:dyDescent="0.3">
      <c r="C274" s="2"/>
    </row>
    <row r="275" spans="3:3" ht="15.75" customHeight="1" x14ac:dyDescent="0.3">
      <c r="C275" s="2"/>
    </row>
    <row r="276" spans="3:3" ht="15.75" customHeight="1" x14ac:dyDescent="0.3">
      <c r="C276" s="2"/>
    </row>
    <row r="277" spans="3:3" ht="15.75" customHeight="1" x14ac:dyDescent="0.3">
      <c r="C277" s="2"/>
    </row>
    <row r="278" spans="3:3" ht="15.75" customHeight="1" x14ac:dyDescent="0.3">
      <c r="C278" s="2"/>
    </row>
    <row r="279" spans="3:3" ht="15.75" customHeight="1" x14ac:dyDescent="0.3">
      <c r="C279" s="2"/>
    </row>
    <row r="280" spans="3:3" ht="15.75" customHeight="1" x14ac:dyDescent="0.3">
      <c r="C280" s="2"/>
    </row>
    <row r="281" spans="3:3" ht="15.75" customHeight="1" x14ac:dyDescent="0.3">
      <c r="C281" s="2"/>
    </row>
    <row r="282" spans="3:3" ht="15.75" customHeight="1" x14ac:dyDescent="0.3">
      <c r="C282" s="2"/>
    </row>
    <row r="283" spans="3:3" ht="15.75" customHeight="1" x14ac:dyDescent="0.3">
      <c r="C283" s="2"/>
    </row>
    <row r="284" spans="3:3" ht="15.75" customHeight="1" x14ac:dyDescent="0.3">
      <c r="C284" s="2"/>
    </row>
    <row r="285" spans="3:3" ht="15.75" customHeight="1" x14ac:dyDescent="0.3">
      <c r="C285" s="2"/>
    </row>
    <row r="286" spans="3:3" ht="15.75" customHeight="1" x14ac:dyDescent="0.3">
      <c r="C286" s="2"/>
    </row>
    <row r="287" spans="3:3" ht="15.75" customHeight="1" x14ac:dyDescent="0.3">
      <c r="C287" s="2"/>
    </row>
    <row r="288" spans="3:3" ht="15.75" customHeight="1" x14ac:dyDescent="0.3">
      <c r="C288" s="2"/>
    </row>
    <row r="289" spans="3:3" ht="15.75" customHeight="1" x14ac:dyDescent="0.3">
      <c r="C289" s="2"/>
    </row>
    <row r="290" spans="3:3" ht="15.75" customHeight="1" x14ac:dyDescent="0.3">
      <c r="C290" s="2"/>
    </row>
    <row r="291" spans="3:3" ht="15.75" customHeight="1" x14ac:dyDescent="0.3">
      <c r="C291" s="2"/>
    </row>
    <row r="292" spans="3:3" ht="15.75" customHeight="1" x14ac:dyDescent="0.3">
      <c r="C292" s="2"/>
    </row>
    <row r="293" spans="3:3" ht="15.75" customHeight="1" x14ac:dyDescent="0.3">
      <c r="C293" s="2"/>
    </row>
    <row r="294" spans="3:3" ht="15.75" customHeight="1" x14ac:dyDescent="0.3">
      <c r="C294" s="2"/>
    </row>
    <row r="295" spans="3:3" ht="15.75" customHeight="1" x14ac:dyDescent="0.3">
      <c r="C295" s="2"/>
    </row>
    <row r="296" spans="3:3" ht="15.75" customHeight="1" x14ac:dyDescent="0.3">
      <c r="C296" s="2"/>
    </row>
    <row r="297" spans="3:3" ht="15.75" customHeight="1" x14ac:dyDescent="0.3">
      <c r="C297" s="2"/>
    </row>
    <row r="298" spans="3:3" ht="15.75" customHeight="1" x14ac:dyDescent="0.3">
      <c r="C298" s="2"/>
    </row>
    <row r="299" spans="3:3" ht="15.75" customHeight="1" x14ac:dyDescent="0.3">
      <c r="C299" s="2"/>
    </row>
    <row r="300" spans="3:3" ht="15.75" customHeight="1" x14ac:dyDescent="0.3">
      <c r="C300" s="2"/>
    </row>
    <row r="301" spans="3:3" ht="15.75" customHeight="1" x14ac:dyDescent="0.3">
      <c r="C301" s="2"/>
    </row>
    <row r="302" spans="3:3" ht="15.75" customHeight="1" x14ac:dyDescent="0.3">
      <c r="C302" s="2"/>
    </row>
    <row r="303" spans="3:3" ht="15.75" customHeight="1" x14ac:dyDescent="0.3">
      <c r="C303" s="2"/>
    </row>
    <row r="304" spans="3:3" ht="15.75" customHeight="1" x14ac:dyDescent="0.3">
      <c r="C304" s="2"/>
    </row>
    <row r="305" spans="3:3" ht="15.75" customHeight="1" x14ac:dyDescent="0.3">
      <c r="C305" s="2"/>
    </row>
    <row r="306" spans="3:3" ht="15.75" customHeight="1" x14ac:dyDescent="0.3">
      <c r="C306" s="2"/>
    </row>
    <row r="307" spans="3:3" ht="15.75" customHeight="1" x14ac:dyDescent="0.3">
      <c r="C307" s="2"/>
    </row>
    <row r="308" spans="3:3" ht="15.75" customHeight="1" x14ac:dyDescent="0.3">
      <c r="C308" s="2"/>
    </row>
    <row r="309" spans="3:3" ht="15.75" customHeight="1" x14ac:dyDescent="0.3">
      <c r="C309" s="2"/>
    </row>
    <row r="310" spans="3:3" ht="15.75" customHeight="1" x14ac:dyDescent="0.3">
      <c r="C310" s="2"/>
    </row>
    <row r="311" spans="3:3" ht="15.75" customHeight="1" x14ac:dyDescent="0.3">
      <c r="C311" s="2"/>
    </row>
    <row r="312" spans="3:3" ht="15.75" customHeight="1" x14ac:dyDescent="0.3">
      <c r="C312" s="2"/>
    </row>
    <row r="313" spans="3:3" ht="15.75" customHeight="1" x14ac:dyDescent="0.3">
      <c r="C313" s="2"/>
    </row>
    <row r="314" spans="3:3" ht="15.75" customHeight="1" x14ac:dyDescent="0.3">
      <c r="C314" s="2"/>
    </row>
    <row r="315" spans="3:3" ht="15.75" customHeight="1" x14ac:dyDescent="0.3">
      <c r="C315" s="2"/>
    </row>
    <row r="316" spans="3:3" ht="15.75" customHeight="1" x14ac:dyDescent="0.3">
      <c r="C316" s="2"/>
    </row>
    <row r="317" spans="3:3" ht="15.75" customHeight="1" x14ac:dyDescent="0.3">
      <c r="C317" s="2"/>
    </row>
    <row r="318" spans="3:3" ht="15.75" customHeight="1" x14ac:dyDescent="0.3">
      <c r="C318" s="2"/>
    </row>
    <row r="319" spans="3:3" ht="15.75" customHeight="1" x14ac:dyDescent="0.3">
      <c r="C319" s="2"/>
    </row>
    <row r="320" spans="3:3" ht="15.75" customHeight="1" x14ac:dyDescent="0.3">
      <c r="C320" s="2"/>
    </row>
    <row r="321" spans="3:3" ht="15.75" customHeight="1" x14ac:dyDescent="0.3">
      <c r="C321" s="2"/>
    </row>
    <row r="322" spans="3:3" ht="15.75" customHeight="1" x14ac:dyDescent="0.3">
      <c r="C322" s="2"/>
    </row>
    <row r="323" spans="3:3" ht="15.75" customHeight="1" x14ac:dyDescent="0.3">
      <c r="C323" s="2"/>
    </row>
    <row r="324" spans="3:3" ht="15.75" customHeight="1" x14ac:dyDescent="0.3">
      <c r="C324" s="2"/>
    </row>
    <row r="325" spans="3:3" ht="15.75" customHeight="1" x14ac:dyDescent="0.3">
      <c r="C325" s="2"/>
    </row>
    <row r="326" spans="3:3" ht="15.75" customHeight="1" x14ac:dyDescent="0.3">
      <c r="C326" s="2"/>
    </row>
    <row r="327" spans="3:3" ht="15.75" customHeight="1" x14ac:dyDescent="0.3">
      <c r="C327" s="2"/>
    </row>
    <row r="328" spans="3:3" ht="15.75" customHeight="1" x14ac:dyDescent="0.3">
      <c r="C328" s="2"/>
    </row>
    <row r="329" spans="3:3" ht="15.75" customHeight="1" x14ac:dyDescent="0.3">
      <c r="C329" s="2"/>
    </row>
    <row r="330" spans="3:3" ht="15.75" customHeight="1" x14ac:dyDescent="0.3">
      <c r="C330" s="2"/>
    </row>
    <row r="331" spans="3:3" ht="15.75" customHeight="1" x14ac:dyDescent="0.3">
      <c r="C331" s="2"/>
    </row>
    <row r="332" spans="3:3" ht="15.75" customHeight="1" x14ac:dyDescent="0.3">
      <c r="C332" s="2"/>
    </row>
    <row r="333" spans="3:3" ht="15.75" customHeight="1" x14ac:dyDescent="0.3">
      <c r="C333" s="2"/>
    </row>
    <row r="334" spans="3:3" ht="15.75" customHeight="1" x14ac:dyDescent="0.3">
      <c r="C334" s="2"/>
    </row>
    <row r="335" spans="3:3" ht="15.75" customHeight="1" x14ac:dyDescent="0.3">
      <c r="C335" s="2"/>
    </row>
    <row r="336" spans="3:3" ht="15.75" customHeight="1" x14ac:dyDescent="0.3">
      <c r="C336" s="2"/>
    </row>
    <row r="337" spans="3:3" ht="15.75" customHeight="1" x14ac:dyDescent="0.3">
      <c r="C337" s="2"/>
    </row>
    <row r="338" spans="3:3" ht="15.75" customHeight="1" x14ac:dyDescent="0.3">
      <c r="C338" s="2"/>
    </row>
    <row r="339" spans="3:3" ht="15.75" customHeight="1" x14ac:dyDescent="0.3">
      <c r="C339" s="2"/>
    </row>
    <row r="340" spans="3:3" ht="15.75" customHeight="1" x14ac:dyDescent="0.3">
      <c r="C340" s="2"/>
    </row>
    <row r="341" spans="3:3" ht="15.75" customHeight="1" x14ac:dyDescent="0.3">
      <c r="C341" s="2"/>
    </row>
    <row r="342" spans="3:3" ht="15.75" customHeight="1" x14ac:dyDescent="0.3">
      <c r="C342" s="2"/>
    </row>
    <row r="343" spans="3:3" ht="15.75" customHeight="1" x14ac:dyDescent="0.3">
      <c r="C343" s="2"/>
    </row>
    <row r="344" spans="3:3" ht="15.75" customHeight="1" x14ac:dyDescent="0.3">
      <c r="C344" s="2"/>
    </row>
    <row r="345" spans="3:3" ht="15.75" customHeight="1" x14ac:dyDescent="0.3">
      <c r="C345" s="2"/>
    </row>
    <row r="346" spans="3:3" ht="15.75" customHeight="1" x14ac:dyDescent="0.3">
      <c r="C346" s="2"/>
    </row>
    <row r="347" spans="3:3" ht="15.75" customHeight="1" x14ac:dyDescent="0.3">
      <c r="C347" s="2"/>
    </row>
    <row r="348" spans="3:3" ht="15.75" customHeight="1" x14ac:dyDescent="0.3">
      <c r="C348" s="2"/>
    </row>
    <row r="349" spans="3:3" ht="15.75" customHeight="1" x14ac:dyDescent="0.3">
      <c r="C349" s="2"/>
    </row>
    <row r="350" spans="3:3" ht="15.75" customHeight="1" x14ac:dyDescent="0.3">
      <c r="C350" s="2"/>
    </row>
    <row r="351" spans="3:3" ht="15.75" customHeight="1" x14ac:dyDescent="0.3">
      <c r="C351" s="2"/>
    </row>
    <row r="352" spans="3:3" ht="15.75" customHeight="1" x14ac:dyDescent="0.3">
      <c r="C352" s="2"/>
    </row>
    <row r="353" spans="3:3" ht="15.75" customHeight="1" x14ac:dyDescent="0.3">
      <c r="C353" s="2"/>
    </row>
    <row r="354" spans="3:3" ht="15.75" customHeight="1" x14ac:dyDescent="0.3">
      <c r="C354" s="2"/>
    </row>
    <row r="355" spans="3:3" ht="15.75" customHeight="1" x14ac:dyDescent="0.3">
      <c r="C355" s="2"/>
    </row>
    <row r="356" spans="3:3" ht="15.75" customHeight="1" x14ac:dyDescent="0.3">
      <c r="C356" s="2"/>
    </row>
    <row r="357" spans="3:3" ht="15.75" customHeight="1" x14ac:dyDescent="0.3">
      <c r="C357" s="2"/>
    </row>
    <row r="358" spans="3:3" ht="15.75" customHeight="1" x14ac:dyDescent="0.3">
      <c r="C358" s="2"/>
    </row>
    <row r="359" spans="3:3" ht="15.75" customHeight="1" x14ac:dyDescent="0.3">
      <c r="C359" s="2"/>
    </row>
    <row r="360" spans="3:3" ht="15.75" customHeight="1" x14ac:dyDescent="0.3">
      <c r="C360" s="2"/>
    </row>
    <row r="361" spans="3:3" ht="15.75" customHeight="1" x14ac:dyDescent="0.3">
      <c r="C361" s="2"/>
    </row>
    <row r="362" spans="3:3" ht="15.75" customHeight="1" x14ac:dyDescent="0.3">
      <c r="C362" s="2"/>
    </row>
    <row r="363" spans="3:3" ht="15.75" customHeight="1" x14ac:dyDescent="0.3">
      <c r="C363" s="2"/>
    </row>
    <row r="364" spans="3:3" ht="15.75" customHeight="1" x14ac:dyDescent="0.3">
      <c r="C364" s="2"/>
    </row>
    <row r="365" spans="3:3" ht="15.75" customHeight="1" x14ac:dyDescent="0.3">
      <c r="C365" s="2"/>
    </row>
    <row r="366" spans="3:3" ht="15.75" customHeight="1" x14ac:dyDescent="0.3">
      <c r="C366" s="2"/>
    </row>
    <row r="367" spans="3:3" ht="15.75" customHeight="1" x14ac:dyDescent="0.3">
      <c r="C367" s="2"/>
    </row>
    <row r="368" spans="3:3" ht="15.75" customHeight="1" x14ac:dyDescent="0.3">
      <c r="C368" s="2"/>
    </row>
    <row r="369" spans="3:3" ht="15.75" customHeight="1" x14ac:dyDescent="0.3">
      <c r="C369" s="2"/>
    </row>
    <row r="370" spans="3:3" ht="15.75" customHeight="1" x14ac:dyDescent="0.3">
      <c r="C370" s="2"/>
    </row>
    <row r="371" spans="3:3" ht="15.75" customHeight="1" x14ac:dyDescent="0.3">
      <c r="C371" s="2"/>
    </row>
    <row r="372" spans="3:3" ht="15.75" customHeight="1" x14ac:dyDescent="0.3">
      <c r="C372" s="2"/>
    </row>
    <row r="373" spans="3:3" ht="15.75" customHeight="1" x14ac:dyDescent="0.3">
      <c r="C373" s="2"/>
    </row>
    <row r="374" spans="3:3" ht="15.75" customHeight="1" x14ac:dyDescent="0.3">
      <c r="C374" s="2"/>
    </row>
    <row r="375" spans="3:3" ht="15.75" customHeight="1" x14ac:dyDescent="0.3">
      <c r="C375" s="2"/>
    </row>
    <row r="376" spans="3:3" ht="15.75" customHeight="1" x14ac:dyDescent="0.3">
      <c r="C376" s="2"/>
    </row>
    <row r="377" spans="3:3" ht="15.75" customHeight="1" x14ac:dyDescent="0.3">
      <c r="C377" s="2"/>
    </row>
    <row r="378" spans="3:3" ht="15.75" customHeight="1" x14ac:dyDescent="0.3">
      <c r="C378" s="2"/>
    </row>
    <row r="379" spans="3:3" ht="15.75" customHeight="1" x14ac:dyDescent="0.3">
      <c r="C379" s="2"/>
    </row>
    <row r="380" spans="3:3" ht="15.75" customHeight="1" x14ac:dyDescent="0.3">
      <c r="C380" s="2"/>
    </row>
    <row r="381" spans="3:3" ht="15.75" customHeight="1" x14ac:dyDescent="0.3">
      <c r="C381" s="2"/>
    </row>
    <row r="382" spans="3:3" ht="15.75" customHeight="1" x14ac:dyDescent="0.3">
      <c r="C382" s="2"/>
    </row>
    <row r="383" spans="3:3" ht="15.75" customHeight="1" x14ac:dyDescent="0.3">
      <c r="C383" s="2"/>
    </row>
    <row r="384" spans="3:3" ht="15.75" customHeight="1" x14ac:dyDescent="0.3">
      <c r="C384" s="2"/>
    </row>
    <row r="385" spans="3:3" ht="15.75" customHeight="1" x14ac:dyDescent="0.3">
      <c r="C385" s="2"/>
    </row>
    <row r="386" spans="3:3" ht="15.75" customHeight="1" x14ac:dyDescent="0.3">
      <c r="C386" s="2"/>
    </row>
    <row r="387" spans="3:3" ht="15.75" customHeight="1" x14ac:dyDescent="0.3">
      <c r="C387" s="2"/>
    </row>
    <row r="388" spans="3:3" ht="15.75" customHeight="1" x14ac:dyDescent="0.3">
      <c r="C388" s="2"/>
    </row>
    <row r="389" spans="3:3" ht="15.75" customHeight="1" x14ac:dyDescent="0.3">
      <c r="C389" s="2"/>
    </row>
    <row r="390" spans="3:3" ht="15.75" customHeight="1" x14ac:dyDescent="0.3">
      <c r="C390" s="2"/>
    </row>
    <row r="391" spans="3:3" ht="15.75" customHeight="1" x14ac:dyDescent="0.3">
      <c r="C391" s="2"/>
    </row>
    <row r="392" spans="3:3" ht="15.75" customHeight="1" x14ac:dyDescent="0.3">
      <c r="C392" s="2"/>
    </row>
    <row r="393" spans="3:3" ht="15.75" customHeight="1" x14ac:dyDescent="0.3">
      <c r="C393" s="2"/>
    </row>
    <row r="394" spans="3:3" ht="15.75" customHeight="1" x14ac:dyDescent="0.3">
      <c r="C394" s="2"/>
    </row>
    <row r="395" spans="3:3" ht="15.75" customHeight="1" x14ac:dyDescent="0.3">
      <c r="C395" s="2"/>
    </row>
    <row r="396" spans="3:3" ht="15.75" customHeight="1" x14ac:dyDescent="0.3">
      <c r="C396" s="2"/>
    </row>
    <row r="397" spans="3:3" ht="15.75" customHeight="1" x14ac:dyDescent="0.3">
      <c r="C397" s="2"/>
    </row>
    <row r="398" spans="3:3" ht="15.75" customHeight="1" x14ac:dyDescent="0.3">
      <c r="C398" s="2"/>
    </row>
    <row r="399" spans="3:3" ht="15.75" customHeight="1" x14ac:dyDescent="0.3">
      <c r="C399" s="2"/>
    </row>
    <row r="400" spans="3:3" ht="15.75" customHeight="1" x14ac:dyDescent="0.3">
      <c r="C400" s="2"/>
    </row>
    <row r="401" spans="3:3" ht="15.75" customHeight="1" x14ac:dyDescent="0.3">
      <c r="C401" s="2"/>
    </row>
    <row r="402" spans="3:3" ht="15.75" customHeight="1" x14ac:dyDescent="0.3">
      <c r="C402" s="2"/>
    </row>
    <row r="403" spans="3:3" ht="15.75" customHeight="1" x14ac:dyDescent="0.3">
      <c r="C403" s="2"/>
    </row>
    <row r="404" spans="3:3" ht="15.75" customHeight="1" x14ac:dyDescent="0.3">
      <c r="C404" s="2"/>
    </row>
    <row r="405" spans="3:3" ht="15.75" customHeight="1" x14ac:dyDescent="0.3">
      <c r="C405" s="2"/>
    </row>
    <row r="406" spans="3:3" ht="15.75" customHeight="1" x14ac:dyDescent="0.3">
      <c r="C406" s="2"/>
    </row>
    <row r="407" spans="3:3" ht="15.75" customHeight="1" x14ac:dyDescent="0.3">
      <c r="C407" s="2"/>
    </row>
    <row r="408" spans="3:3" ht="15.75" customHeight="1" x14ac:dyDescent="0.3">
      <c r="C408" s="2"/>
    </row>
    <row r="409" spans="3:3" ht="15.75" customHeight="1" x14ac:dyDescent="0.3">
      <c r="C409" s="2"/>
    </row>
    <row r="410" spans="3:3" ht="15.75" customHeight="1" x14ac:dyDescent="0.3">
      <c r="C410" s="2"/>
    </row>
    <row r="411" spans="3:3" ht="15.75" customHeight="1" x14ac:dyDescent="0.3">
      <c r="C411" s="2"/>
    </row>
    <row r="412" spans="3:3" ht="15.75" customHeight="1" x14ac:dyDescent="0.3">
      <c r="C412" s="2"/>
    </row>
    <row r="413" spans="3:3" ht="15.75" customHeight="1" x14ac:dyDescent="0.3">
      <c r="C413" s="2"/>
    </row>
    <row r="414" spans="3:3" ht="15.75" customHeight="1" x14ac:dyDescent="0.3">
      <c r="C414" s="2"/>
    </row>
    <row r="415" spans="3:3" ht="15.75" customHeight="1" x14ac:dyDescent="0.3">
      <c r="C415" s="2"/>
    </row>
    <row r="416" spans="3:3" ht="15.75" customHeight="1" x14ac:dyDescent="0.3">
      <c r="C416" s="2"/>
    </row>
    <row r="417" spans="3:3" ht="15.75" customHeight="1" x14ac:dyDescent="0.3">
      <c r="C417" s="2"/>
    </row>
    <row r="418" spans="3:3" ht="15.75" customHeight="1" x14ac:dyDescent="0.3">
      <c r="C418" s="2"/>
    </row>
    <row r="419" spans="3:3" ht="15.75" customHeight="1" x14ac:dyDescent="0.3">
      <c r="C419" s="2"/>
    </row>
    <row r="420" spans="3:3" ht="15.75" customHeight="1" x14ac:dyDescent="0.3">
      <c r="C420" s="2"/>
    </row>
    <row r="421" spans="3:3" ht="15.75" customHeight="1" x14ac:dyDescent="0.3">
      <c r="C421" s="2"/>
    </row>
    <row r="422" spans="3:3" ht="15.75" customHeight="1" x14ac:dyDescent="0.3">
      <c r="C422" s="2"/>
    </row>
    <row r="423" spans="3:3" ht="15.75" customHeight="1" x14ac:dyDescent="0.3">
      <c r="C423" s="2"/>
    </row>
    <row r="424" spans="3:3" ht="15.75" customHeight="1" x14ac:dyDescent="0.3">
      <c r="C424" s="2"/>
    </row>
    <row r="425" spans="3:3" ht="15.75" customHeight="1" x14ac:dyDescent="0.3">
      <c r="C425" s="2"/>
    </row>
    <row r="426" spans="3:3" ht="15.75" customHeight="1" x14ac:dyDescent="0.3">
      <c r="C426" s="2"/>
    </row>
    <row r="427" spans="3:3" ht="15.75" customHeight="1" x14ac:dyDescent="0.3">
      <c r="C427" s="2"/>
    </row>
    <row r="428" spans="3:3" ht="15.75" customHeight="1" x14ac:dyDescent="0.3">
      <c r="C428" s="2"/>
    </row>
    <row r="429" spans="3:3" ht="15.75" customHeight="1" x14ac:dyDescent="0.3">
      <c r="C429" s="2"/>
    </row>
    <row r="430" spans="3:3" ht="15.75" customHeight="1" x14ac:dyDescent="0.3">
      <c r="C430" s="2"/>
    </row>
    <row r="431" spans="3:3" ht="15.75" customHeight="1" x14ac:dyDescent="0.3">
      <c r="C431" s="2"/>
    </row>
    <row r="432" spans="3:3" ht="15.75" customHeight="1" x14ac:dyDescent="0.3">
      <c r="C432" s="2"/>
    </row>
    <row r="433" spans="3:3" ht="15.75" customHeight="1" x14ac:dyDescent="0.3">
      <c r="C433" s="2"/>
    </row>
    <row r="434" spans="3:3" ht="15.75" customHeight="1" x14ac:dyDescent="0.3">
      <c r="C434" s="2"/>
    </row>
    <row r="435" spans="3:3" ht="15.75" customHeight="1" x14ac:dyDescent="0.3">
      <c r="C435" s="2"/>
    </row>
    <row r="436" spans="3:3" ht="15.75" customHeight="1" x14ac:dyDescent="0.3">
      <c r="C436" s="2"/>
    </row>
    <row r="437" spans="3:3" ht="15.75" customHeight="1" x14ac:dyDescent="0.3">
      <c r="C437" s="2"/>
    </row>
    <row r="438" spans="3:3" ht="15.75" customHeight="1" x14ac:dyDescent="0.3">
      <c r="C438" s="2"/>
    </row>
    <row r="439" spans="3:3" ht="15.75" customHeight="1" x14ac:dyDescent="0.3">
      <c r="C439" s="2"/>
    </row>
    <row r="440" spans="3:3" ht="15.75" customHeight="1" x14ac:dyDescent="0.3">
      <c r="C440" s="2"/>
    </row>
    <row r="441" spans="3:3" ht="15.75" customHeight="1" x14ac:dyDescent="0.3">
      <c r="C441" s="2"/>
    </row>
    <row r="442" spans="3:3" ht="15.75" customHeight="1" x14ac:dyDescent="0.3">
      <c r="C442" s="2"/>
    </row>
    <row r="443" spans="3:3" ht="15.75" customHeight="1" x14ac:dyDescent="0.3">
      <c r="C443" s="2"/>
    </row>
    <row r="444" spans="3:3" ht="15.75" customHeight="1" x14ac:dyDescent="0.3">
      <c r="C444" s="2"/>
    </row>
    <row r="445" spans="3:3" ht="15.75" customHeight="1" x14ac:dyDescent="0.3">
      <c r="C445" s="2"/>
    </row>
    <row r="446" spans="3:3" ht="15.75" customHeight="1" x14ac:dyDescent="0.3">
      <c r="C446" s="2"/>
    </row>
    <row r="447" spans="3:3" ht="15.75" customHeight="1" x14ac:dyDescent="0.3">
      <c r="C447" s="2"/>
    </row>
    <row r="448" spans="3:3" ht="15.75" customHeight="1" x14ac:dyDescent="0.3">
      <c r="C448" s="2"/>
    </row>
    <row r="449" spans="3:3" ht="15.75" customHeight="1" x14ac:dyDescent="0.3">
      <c r="C449" s="2"/>
    </row>
    <row r="450" spans="3:3" ht="15.75" customHeight="1" x14ac:dyDescent="0.3">
      <c r="C450" s="2"/>
    </row>
    <row r="451" spans="3:3" ht="15.75" customHeight="1" x14ac:dyDescent="0.3">
      <c r="C451" s="2"/>
    </row>
    <row r="452" spans="3:3" ht="15.75" customHeight="1" x14ac:dyDescent="0.3">
      <c r="C452" s="2"/>
    </row>
    <row r="453" spans="3:3" ht="15.75" customHeight="1" x14ac:dyDescent="0.3">
      <c r="C453" s="2"/>
    </row>
    <row r="454" spans="3:3" ht="15.75" customHeight="1" x14ac:dyDescent="0.3">
      <c r="C454" s="2"/>
    </row>
    <row r="455" spans="3:3" ht="15.75" customHeight="1" x14ac:dyDescent="0.3">
      <c r="C455" s="2"/>
    </row>
    <row r="456" spans="3:3" ht="15.75" customHeight="1" x14ac:dyDescent="0.3">
      <c r="C456" s="2"/>
    </row>
    <row r="457" spans="3:3" ht="15.75" customHeight="1" x14ac:dyDescent="0.3">
      <c r="C457" s="2"/>
    </row>
    <row r="458" spans="3:3" ht="15.75" customHeight="1" x14ac:dyDescent="0.3">
      <c r="C458" s="2"/>
    </row>
    <row r="459" spans="3:3" ht="15.75" customHeight="1" x14ac:dyDescent="0.3">
      <c r="C459" s="2"/>
    </row>
    <row r="460" spans="3:3" ht="15.75" customHeight="1" x14ac:dyDescent="0.3">
      <c r="C460" s="2"/>
    </row>
    <row r="461" spans="3:3" ht="15.75" customHeight="1" x14ac:dyDescent="0.3">
      <c r="C461" s="2"/>
    </row>
    <row r="462" spans="3:3" ht="15.75" customHeight="1" x14ac:dyDescent="0.3">
      <c r="C462" s="2"/>
    </row>
    <row r="463" spans="3:3" ht="15.75" customHeight="1" x14ac:dyDescent="0.3">
      <c r="C463" s="2"/>
    </row>
    <row r="464" spans="3:3" ht="15.75" customHeight="1" x14ac:dyDescent="0.3">
      <c r="C464" s="2"/>
    </row>
    <row r="465" spans="3:3" ht="15.75" customHeight="1" x14ac:dyDescent="0.3">
      <c r="C465" s="2"/>
    </row>
    <row r="466" spans="3:3" ht="15.75" customHeight="1" x14ac:dyDescent="0.3">
      <c r="C466" s="2"/>
    </row>
    <row r="467" spans="3:3" ht="15.75" customHeight="1" x14ac:dyDescent="0.3">
      <c r="C467" s="2"/>
    </row>
    <row r="468" spans="3:3" ht="15.75" customHeight="1" x14ac:dyDescent="0.3">
      <c r="C468" s="2"/>
    </row>
    <row r="469" spans="3:3" ht="15.75" customHeight="1" x14ac:dyDescent="0.3">
      <c r="C469" s="2"/>
    </row>
    <row r="470" spans="3:3" ht="15.75" customHeight="1" x14ac:dyDescent="0.3">
      <c r="C470" s="2"/>
    </row>
    <row r="471" spans="3:3" ht="15.75" customHeight="1" x14ac:dyDescent="0.3">
      <c r="C471" s="2"/>
    </row>
    <row r="472" spans="3:3" ht="15.75" customHeight="1" x14ac:dyDescent="0.3">
      <c r="C472" s="2"/>
    </row>
    <row r="473" spans="3:3" ht="15.75" customHeight="1" x14ac:dyDescent="0.3">
      <c r="C473" s="2"/>
    </row>
    <row r="474" spans="3:3" ht="15.75" customHeight="1" x14ac:dyDescent="0.3">
      <c r="C474" s="2"/>
    </row>
    <row r="475" spans="3:3" ht="15.75" customHeight="1" x14ac:dyDescent="0.3">
      <c r="C475" s="2"/>
    </row>
    <row r="476" spans="3:3" ht="15.75" customHeight="1" x14ac:dyDescent="0.3">
      <c r="C476" s="2"/>
    </row>
    <row r="477" spans="3:3" ht="15.75" customHeight="1" x14ac:dyDescent="0.3">
      <c r="C477" s="2"/>
    </row>
    <row r="478" spans="3:3" ht="15.75" customHeight="1" x14ac:dyDescent="0.3">
      <c r="C478" s="2"/>
    </row>
    <row r="479" spans="3:3" ht="15.75" customHeight="1" x14ac:dyDescent="0.3">
      <c r="C479" s="2"/>
    </row>
    <row r="480" spans="3:3" ht="15.75" customHeight="1" x14ac:dyDescent="0.3">
      <c r="C480" s="2"/>
    </row>
    <row r="481" spans="3:3" ht="15.75" customHeight="1" x14ac:dyDescent="0.3">
      <c r="C481" s="2"/>
    </row>
    <row r="482" spans="3:3" ht="15.75" customHeight="1" x14ac:dyDescent="0.3">
      <c r="C482" s="2"/>
    </row>
    <row r="483" spans="3:3" ht="15.75" customHeight="1" x14ac:dyDescent="0.3">
      <c r="C483" s="2"/>
    </row>
    <row r="484" spans="3:3" ht="15.75" customHeight="1" x14ac:dyDescent="0.3">
      <c r="C484" s="2"/>
    </row>
    <row r="485" spans="3:3" ht="15.75" customHeight="1" x14ac:dyDescent="0.3">
      <c r="C485" s="2"/>
    </row>
    <row r="486" spans="3:3" ht="15.75" customHeight="1" x14ac:dyDescent="0.3">
      <c r="C486" s="2"/>
    </row>
    <row r="487" spans="3:3" ht="15.75" customHeight="1" x14ac:dyDescent="0.3">
      <c r="C487" s="2"/>
    </row>
    <row r="488" spans="3:3" ht="15.75" customHeight="1" x14ac:dyDescent="0.3">
      <c r="C488" s="2"/>
    </row>
    <row r="489" spans="3:3" ht="15.75" customHeight="1" x14ac:dyDescent="0.3">
      <c r="C489" s="2"/>
    </row>
    <row r="490" spans="3:3" ht="15.75" customHeight="1" x14ac:dyDescent="0.3">
      <c r="C490" s="2"/>
    </row>
    <row r="491" spans="3:3" ht="15.75" customHeight="1" x14ac:dyDescent="0.3">
      <c r="C491" s="2"/>
    </row>
    <row r="492" spans="3:3" ht="15.75" customHeight="1" x14ac:dyDescent="0.3">
      <c r="C492" s="2"/>
    </row>
    <row r="493" spans="3:3" ht="15.75" customHeight="1" x14ac:dyDescent="0.3">
      <c r="C493" s="2"/>
    </row>
    <row r="494" spans="3:3" ht="15.75" customHeight="1" x14ac:dyDescent="0.3">
      <c r="C494" s="2"/>
    </row>
    <row r="495" spans="3:3" ht="15.75" customHeight="1" x14ac:dyDescent="0.3">
      <c r="C495" s="2"/>
    </row>
    <row r="496" spans="3:3" ht="15.75" customHeight="1" x14ac:dyDescent="0.3">
      <c r="C496" s="2"/>
    </row>
    <row r="497" spans="3:3" ht="15.75" customHeight="1" x14ac:dyDescent="0.3">
      <c r="C497" s="2"/>
    </row>
    <row r="498" spans="3:3" ht="15.75" customHeight="1" x14ac:dyDescent="0.3">
      <c r="C498" s="2"/>
    </row>
    <row r="499" spans="3:3" ht="15.75" customHeight="1" x14ac:dyDescent="0.3">
      <c r="C499" s="2"/>
    </row>
    <row r="500" spans="3:3" ht="15.75" customHeight="1" x14ac:dyDescent="0.3">
      <c r="C500" s="2"/>
    </row>
    <row r="501" spans="3:3" ht="15.75" customHeight="1" x14ac:dyDescent="0.3">
      <c r="C501" s="2"/>
    </row>
    <row r="502" spans="3:3" ht="15.75" customHeight="1" x14ac:dyDescent="0.3">
      <c r="C502" s="2"/>
    </row>
    <row r="503" spans="3:3" ht="15.75" customHeight="1" x14ac:dyDescent="0.3">
      <c r="C503" s="2"/>
    </row>
    <row r="504" spans="3:3" ht="15.75" customHeight="1" x14ac:dyDescent="0.3">
      <c r="C504" s="2"/>
    </row>
    <row r="505" spans="3:3" ht="15.75" customHeight="1" x14ac:dyDescent="0.3">
      <c r="C505" s="2"/>
    </row>
    <row r="506" spans="3:3" ht="15.75" customHeight="1" x14ac:dyDescent="0.3">
      <c r="C506" s="2"/>
    </row>
    <row r="507" spans="3:3" ht="15.75" customHeight="1" x14ac:dyDescent="0.3">
      <c r="C507" s="2"/>
    </row>
    <row r="508" spans="3:3" ht="15.75" customHeight="1" x14ac:dyDescent="0.3">
      <c r="C508" s="2"/>
    </row>
    <row r="509" spans="3:3" ht="15.75" customHeight="1" x14ac:dyDescent="0.3">
      <c r="C509" s="2"/>
    </row>
    <row r="510" spans="3:3" ht="15.75" customHeight="1" x14ac:dyDescent="0.3">
      <c r="C510" s="2"/>
    </row>
    <row r="511" spans="3:3" ht="15.75" customHeight="1" x14ac:dyDescent="0.3">
      <c r="C511" s="2"/>
    </row>
    <row r="512" spans="3:3" ht="15.75" customHeight="1" x14ac:dyDescent="0.3">
      <c r="C512" s="2"/>
    </row>
    <row r="513" spans="3:3" ht="15.75" customHeight="1" x14ac:dyDescent="0.3">
      <c r="C513" s="2"/>
    </row>
    <row r="514" spans="3:3" ht="15.75" customHeight="1" x14ac:dyDescent="0.3">
      <c r="C514" s="2"/>
    </row>
    <row r="515" spans="3:3" ht="15.75" customHeight="1" x14ac:dyDescent="0.3">
      <c r="C515" s="2"/>
    </row>
    <row r="516" spans="3:3" ht="15.75" customHeight="1" x14ac:dyDescent="0.3">
      <c r="C516" s="2"/>
    </row>
    <row r="517" spans="3:3" ht="15.75" customHeight="1" x14ac:dyDescent="0.3">
      <c r="C517" s="2"/>
    </row>
    <row r="518" spans="3:3" ht="15.75" customHeight="1" x14ac:dyDescent="0.3">
      <c r="C518" s="2"/>
    </row>
    <row r="519" spans="3:3" ht="15.75" customHeight="1" x14ac:dyDescent="0.3">
      <c r="C519" s="2"/>
    </row>
    <row r="520" spans="3:3" ht="15.75" customHeight="1" x14ac:dyDescent="0.3">
      <c r="C520" s="2"/>
    </row>
    <row r="521" spans="3:3" ht="15.75" customHeight="1" x14ac:dyDescent="0.3">
      <c r="C521" s="2"/>
    </row>
    <row r="522" spans="3:3" ht="15.75" customHeight="1" x14ac:dyDescent="0.3">
      <c r="C522" s="2"/>
    </row>
    <row r="523" spans="3:3" ht="15.75" customHeight="1" x14ac:dyDescent="0.3">
      <c r="C523" s="2"/>
    </row>
    <row r="524" spans="3:3" ht="15.75" customHeight="1" x14ac:dyDescent="0.3">
      <c r="C524" s="2"/>
    </row>
    <row r="525" spans="3:3" ht="15.75" customHeight="1" x14ac:dyDescent="0.3">
      <c r="C525" s="2"/>
    </row>
    <row r="526" spans="3:3" ht="15.75" customHeight="1" x14ac:dyDescent="0.3">
      <c r="C526" s="2"/>
    </row>
    <row r="527" spans="3:3" ht="15.75" customHeight="1" x14ac:dyDescent="0.3">
      <c r="C527" s="2"/>
    </row>
    <row r="528" spans="3:3" ht="15.75" customHeight="1" x14ac:dyDescent="0.3">
      <c r="C528" s="2"/>
    </row>
    <row r="529" spans="3:3" ht="15.75" customHeight="1" x14ac:dyDescent="0.3">
      <c r="C529" s="2"/>
    </row>
    <row r="530" spans="3:3" ht="15.75" customHeight="1" x14ac:dyDescent="0.3">
      <c r="C530" s="2"/>
    </row>
    <row r="531" spans="3:3" ht="15.75" customHeight="1" x14ac:dyDescent="0.3">
      <c r="C531" s="2"/>
    </row>
    <row r="532" spans="3:3" ht="15.75" customHeight="1" x14ac:dyDescent="0.3">
      <c r="C532" s="2"/>
    </row>
    <row r="533" spans="3:3" ht="15.75" customHeight="1" x14ac:dyDescent="0.3">
      <c r="C533" s="2"/>
    </row>
    <row r="534" spans="3:3" ht="15.75" customHeight="1" x14ac:dyDescent="0.3">
      <c r="C534" s="2"/>
    </row>
    <row r="535" spans="3:3" ht="15.75" customHeight="1" x14ac:dyDescent="0.3">
      <c r="C535" s="2"/>
    </row>
    <row r="536" spans="3:3" ht="15.75" customHeight="1" x14ac:dyDescent="0.3">
      <c r="C536" s="2"/>
    </row>
    <row r="537" spans="3:3" ht="15.75" customHeight="1" x14ac:dyDescent="0.3">
      <c r="C537" s="2"/>
    </row>
    <row r="538" spans="3:3" ht="15.75" customHeight="1" x14ac:dyDescent="0.3">
      <c r="C538" s="2"/>
    </row>
    <row r="539" spans="3:3" ht="15.75" customHeight="1" x14ac:dyDescent="0.3">
      <c r="C539" s="2"/>
    </row>
    <row r="540" spans="3:3" ht="15.75" customHeight="1" x14ac:dyDescent="0.3">
      <c r="C540" s="2"/>
    </row>
    <row r="541" spans="3:3" ht="15.75" customHeight="1" x14ac:dyDescent="0.3">
      <c r="C541" s="2"/>
    </row>
    <row r="542" spans="3:3" ht="15.75" customHeight="1" x14ac:dyDescent="0.3">
      <c r="C542" s="2"/>
    </row>
    <row r="543" spans="3:3" ht="15.75" customHeight="1" x14ac:dyDescent="0.3">
      <c r="C543" s="2"/>
    </row>
    <row r="544" spans="3:3" ht="15.75" customHeight="1" x14ac:dyDescent="0.3">
      <c r="C544" s="2"/>
    </row>
    <row r="545" spans="3:3" ht="15.75" customHeight="1" x14ac:dyDescent="0.3">
      <c r="C545" s="2"/>
    </row>
    <row r="546" spans="3:3" ht="15.75" customHeight="1" x14ac:dyDescent="0.3">
      <c r="C546" s="2"/>
    </row>
    <row r="547" spans="3:3" ht="15.75" customHeight="1" x14ac:dyDescent="0.3">
      <c r="C547" s="2"/>
    </row>
    <row r="548" spans="3:3" ht="15.75" customHeight="1" x14ac:dyDescent="0.3">
      <c r="C548" s="2"/>
    </row>
    <row r="549" spans="3:3" ht="15.75" customHeight="1" x14ac:dyDescent="0.3">
      <c r="C549" s="2"/>
    </row>
    <row r="550" spans="3:3" ht="15.75" customHeight="1" x14ac:dyDescent="0.3">
      <c r="C550" s="2"/>
    </row>
    <row r="551" spans="3:3" ht="15.75" customHeight="1" x14ac:dyDescent="0.3">
      <c r="C551" s="2"/>
    </row>
    <row r="552" spans="3:3" ht="15.75" customHeight="1" x14ac:dyDescent="0.3">
      <c r="C552" s="2"/>
    </row>
    <row r="553" spans="3:3" ht="15.75" customHeight="1" x14ac:dyDescent="0.3">
      <c r="C553" s="2"/>
    </row>
    <row r="554" spans="3:3" ht="15.75" customHeight="1" x14ac:dyDescent="0.3">
      <c r="C554" s="2"/>
    </row>
    <row r="555" spans="3:3" ht="15.75" customHeight="1" x14ac:dyDescent="0.3">
      <c r="C555" s="2"/>
    </row>
    <row r="556" spans="3:3" ht="15.75" customHeight="1" x14ac:dyDescent="0.3">
      <c r="C556" s="2"/>
    </row>
    <row r="557" spans="3:3" ht="15.75" customHeight="1" x14ac:dyDescent="0.3">
      <c r="C557" s="2"/>
    </row>
    <row r="558" spans="3:3" ht="15.75" customHeight="1" x14ac:dyDescent="0.3">
      <c r="C558" s="2"/>
    </row>
    <row r="559" spans="3:3" ht="15.75" customHeight="1" x14ac:dyDescent="0.3">
      <c r="C559" s="2"/>
    </row>
    <row r="560" spans="3:3" ht="15.75" customHeight="1" x14ac:dyDescent="0.3">
      <c r="C560" s="2"/>
    </row>
    <row r="561" spans="3:3" ht="15.75" customHeight="1" x14ac:dyDescent="0.3">
      <c r="C561" s="2"/>
    </row>
    <row r="562" spans="3:3" ht="15.75" customHeight="1" x14ac:dyDescent="0.3">
      <c r="C562" s="2"/>
    </row>
    <row r="563" spans="3:3" ht="15.75" customHeight="1" x14ac:dyDescent="0.3">
      <c r="C563" s="2"/>
    </row>
    <row r="564" spans="3:3" ht="15.75" customHeight="1" x14ac:dyDescent="0.3">
      <c r="C564" s="2"/>
    </row>
    <row r="565" spans="3:3" ht="15.75" customHeight="1" x14ac:dyDescent="0.3">
      <c r="C565" s="2"/>
    </row>
    <row r="566" spans="3:3" ht="15.75" customHeight="1" x14ac:dyDescent="0.3">
      <c r="C566" s="2"/>
    </row>
    <row r="567" spans="3:3" ht="15.75" customHeight="1" x14ac:dyDescent="0.3">
      <c r="C567" s="2"/>
    </row>
    <row r="568" spans="3:3" ht="15.75" customHeight="1" x14ac:dyDescent="0.3">
      <c r="C568" s="2"/>
    </row>
    <row r="569" spans="3:3" ht="15.75" customHeight="1" x14ac:dyDescent="0.3">
      <c r="C569" s="2"/>
    </row>
    <row r="570" spans="3:3" ht="15.75" customHeight="1" x14ac:dyDescent="0.3">
      <c r="C570" s="2"/>
    </row>
    <row r="571" spans="3:3" ht="15.75" customHeight="1" x14ac:dyDescent="0.3">
      <c r="C571" s="2"/>
    </row>
    <row r="572" spans="3:3" ht="15.75" customHeight="1" x14ac:dyDescent="0.3">
      <c r="C572" s="2"/>
    </row>
    <row r="573" spans="3:3" ht="15.75" customHeight="1" x14ac:dyDescent="0.3">
      <c r="C573" s="2"/>
    </row>
    <row r="574" spans="3:3" ht="15.75" customHeight="1" x14ac:dyDescent="0.3">
      <c r="C574" s="2"/>
    </row>
    <row r="575" spans="3:3" ht="15.75" customHeight="1" x14ac:dyDescent="0.3">
      <c r="C575" s="2"/>
    </row>
    <row r="576" spans="3:3" ht="15.75" customHeight="1" x14ac:dyDescent="0.3">
      <c r="C576" s="2"/>
    </row>
    <row r="577" spans="3:3" ht="15.75" customHeight="1" x14ac:dyDescent="0.3">
      <c r="C577" s="2"/>
    </row>
    <row r="578" spans="3:3" ht="15.75" customHeight="1" x14ac:dyDescent="0.3">
      <c r="C578" s="2"/>
    </row>
    <row r="579" spans="3:3" ht="15.75" customHeight="1" x14ac:dyDescent="0.3">
      <c r="C579" s="2"/>
    </row>
    <row r="580" spans="3:3" ht="15.75" customHeight="1" x14ac:dyDescent="0.3">
      <c r="C580" s="2"/>
    </row>
    <row r="581" spans="3:3" ht="15.75" customHeight="1" x14ac:dyDescent="0.3">
      <c r="C581" s="2"/>
    </row>
    <row r="582" spans="3:3" ht="15.75" customHeight="1" x14ac:dyDescent="0.3">
      <c r="C582" s="2"/>
    </row>
    <row r="583" spans="3:3" ht="15.75" customHeight="1" x14ac:dyDescent="0.3">
      <c r="C583" s="2"/>
    </row>
    <row r="584" spans="3:3" ht="15.75" customHeight="1" x14ac:dyDescent="0.3">
      <c r="C584" s="2"/>
    </row>
    <row r="585" spans="3:3" ht="15.75" customHeight="1" x14ac:dyDescent="0.3">
      <c r="C585" s="2"/>
    </row>
    <row r="586" spans="3:3" ht="15.75" customHeight="1" x14ac:dyDescent="0.3">
      <c r="C586" s="2"/>
    </row>
    <row r="587" spans="3:3" ht="15.75" customHeight="1" x14ac:dyDescent="0.3">
      <c r="C587" s="2"/>
    </row>
    <row r="588" spans="3:3" ht="15.75" customHeight="1" x14ac:dyDescent="0.3">
      <c r="C588" s="2"/>
    </row>
    <row r="589" spans="3:3" ht="15.75" customHeight="1" x14ac:dyDescent="0.3">
      <c r="C589" s="2"/>
    </row>
    <row r="590" spans="3:3" ht="15.75" customHeight="1" x14ac:dyDescent="0.3">
      <c r="C590" s="2"/>
    </row>
    <row r="591" spans="3:3" ht="15.75" customHeight="1" x14ac:dyDescent="0.3">
      <c r="C591" s="2"/>
    </row>
    <row r="592" spans="3:3" ht="15.75" customHeight="1" x14ac:dyDescent="0.3">
      <c r="C592" s="2"/>
    </row>
    <row r="593" spans="3:3" ht="15.75" customHeight="1" x14ac:dyDescent="0.3">
      <c r="C593" s="2"/>
    </row>
    <row r="594" spans="3:3" ht="15.75" customHeight="1" x14ac:dyDescent="0.3">
      <c r="C594" s="2"/>
    </row>
    <row r="595" spans="3:3" ht="15.75" customHeight="1" x14ac:dyDescent="0.3">
      <c r="C595" s="2"/>
    </row>
    <row r="596" spans="3:3" ht="15.75" customHeight="1" x14ac:dyDescent="0.3">
      <c r="C596" s="2"/>
    </row>
    <row r="597" spans="3:3" ht="15.75" customHeight="1" x14ac:dyDescent="0.3">
      <c r="C597" s="2"/>
    </row>
    <row r="598" spans="3:3" ht="15.75" customHeight="1" x14ac:dyDescent="0.3">
      <c r="C598" s="2"/>
    </row>
    <row r="599" spans="3:3" ht="15.75" customHeight="1" x14ac:dyDescent="0.3">
      <c r="C599" s="2"/>
    </row>
    <row r="600" spans="3:3" ht="15.75" customHeight="1" x14ac:dyDescent="0.3">
      <c r="C600" s="2"/>
    </row>
    <row r="601" spans="3:3" ht="15.75" customHeight="1" x14ac:dyDescent="0.3">
      <c r="C601" s="2"/>
    </row>
    <row r="602" spans="3:3" ht="15.75" customHeight="1" x14ac:dyDescent="0.3">
      <c r="C602" s="2"/>
    </row>
    <row r="603" spans="3:3" ht="15.75" customHeight="1" x14ac:dyDescent="0.3">
      <c r="C603" s="2"/>
    </row>
    <row r="604" spans="3:3" ht="15.75" customHeight="1" x14ac:dyDescent="0.3">
      <c r="C604" s="2"/>
    </row>
    <row r="605" spans="3:3" ht="15.75" customHeight="1" x14ac:dyDescent="0.3">
      <c r="C605" s="2"/>
    </row>
    <row r="606" spans="3:3" ht="15.75" customHeight="1" x14ac:dyDescent="0.3">
      <c r="C606" s="2"/>
    </row>
    <row r="607" spans="3:3" ht="15.75" customHeight="1" x14ac:dyDescent="0.3">
      <c r="C607" s="2"/>
    </row>
    <row r="608" spans="3:3" ht="15.75" customHeight="1" x14ac:dyDescent="0.3">
      <c r="C608" s="2"/>
    </row>
    <row r="609" spans="3:3" ht="15.75" customHeight="1" x14ac:dyDescent="0.3">
      <c r="C609" s="2"/>
    </row>
    <row r="610" spans="3:3" ht="15.75" customHeight="1" x14ac:dyDescent="0.3">
      <c r="C610" s="2"/>
    </row>
    <row r="611" spans="3:3" ht="15.75" customHeight="1" x14ac:dyDescent="0.3">
      <c r="C611" s="2"/>
    </row>
    <row r="612" spans="3:3" ht="15.75" customHeight="1" x14ac:dyDescent="0.3">
      <c r="C612" s="2"/>
    </row>
    <row r="613" spans="3:3" ht="15.75" customHeight="1" x14ac:dyDescent="0.3">
      <c r="C613" s="2"/>
    </row>
    <row r="614" spans="3:3" ht="15.75" customHeight="1" x14ac:dyDescent="0.3">
      <c r="C614" s="2"/>
    </row>
    <row r="615" spans="3:3" ht="15.75" customHeight="1" x14ac:dyDescent="0.3">
      <c r="C615" s="2"/>
    </row>
    <row r="616" spans="3:3" ht="15.75" customHeight="1" x14ac:dyDescent="0.3">
      <c r="C616" s="2"/>
    </row>
    <row r="617" spans="3:3" ht="15.75" customHeight="1" x14ac:dyDescent="0.3">
      <c r="C617" s="2"/>
    </row>
    <row r="618" spans="3:3" ht="15.75" customHeight="1" x14ac:dyDescent="0.3">
      <c r="C618" s="2"/>
    </row>
    <row r="619" spans="3:3" ht="15.75" customHeight="1" x14ac:dyDescent="0.3">
      <c r="C619" s="2"/>
    </row>
    <row r="620" spans="3:3" ht="15.75" customHeight="1" x14ac:dyDescent="0.3">
      <c r="C620" s="2"/>
    </row>
    <row r="621" spans="3:3" ht="15.75" customHeight="1" x14ac:dyDescent="0.3">
      <c r="C621" s="2"/>
    </row>
    <row r="622" spans="3:3" ht="15.75" customHeight="1" x14ac:dyDescent="0.3">
      <c r="C622" s="2"/>
    </row>
    <row r="623" spans="3:3" ht="15.75" customHeight="1" x14ac:dyDescent="0.3">
      <c r="C623" s="2"/>
    </row>
    <row r="624" spans="3:3" ht="15.75" customHeight="1" x14ac:dyDescent="0.3">
      <c r="C624" s="2"/>
    </row>
    <row r="625" spans="3:3" ht="15.75" customHeight="1" x14ac:dyDescent="0.3">
      <c r="C625" s="2"/>
    </row>
    <row r="626" spans="3:3" ht="15.75" customHeight="1" x14ac:dyDescent="0.3">
      <c r="C626" s="2"/>
    </row>
    <row r="627" spans="3:3" ht="15.75" customHeight="1" x14ac:dyDescent="0.3">
      <c r="C627" s="2"/>
    </row>
    <row r="628" spans="3:3" ht="15.75" customHeight="1" x14ac:dyDescent="0.3">
      <c r="C628" s="2"/>
    </row>
    <row r="629" spans="3:3" ht="15.75" customHeight="1" x14ac:dyDescent="0.3">
      <c r="C629" s="2"/>
    </row>
    <row r="630" spans="3:3" ht="15.75" customHeight="1" x14ac:dyDescent="0.3">
      <c r="C630" s="2"/>
    </row>
    <row r="631" spans="3:3" ht="15.75" customHeight="1" x14ac:dyDescent="0.3">
      <c r="C631" s="2"/>
    </row>
    <row r="632" spans="3:3" ht="15.75" customHeight="1" x14ac:dyDescent="0.3">
      <c r="C632" s="2"/>
    </row>
    <row r="633" spans="3:3" ht="15.75" customHeight="1" x14ac:dyDescent="0.3">
      <c r="C633" s="2"/>
    </row>
    <row r="634" spans="3:3" ht="15.75" customHeight="1" x14ac:dyDescent="0.3">
      <c r="C634" s="2"/>
    </row>
    <row r="635" spans="3:3" ht="15.75" customHeight="1" x14ac:dyDescent="0.3">
      <c r="C635" s="2"/>
    </row>
    <row r="636" spans="3:3" ht="15.75" customHeight="1" x14ac:dyDescent="0.3">
      <c r="C636" s="2"/>
    </row>
    <row r="637" spans="3:3" ht="15.75" customHeight="1" x14ac:dyDescent="0.3">
      <c r="C637" s="2"/>
    </row>
    <row r="638" spans="3:3" ht="15.75" customHeight="1" x14ac:dyDescent="0.3">
      <c r="C638" s="2"/>
    </row>
    <row r="639" spans="3:3" ht="15.75" customHeight="1" x14ac:dyDescent="0.3">
      <c r="C639" s="2"/>
    </row>
    <row r="640" spans="3:3" ht="15.75" customHeight="1" x14ac:dyDescent="0.3">
      <c r="C640" s="2"/>
    </row>
    <row r="641" spans="3:3" ht="15.75" customHeight="1" x14ac:dyDescent="0.3">
      <c r="C641" s="2"/>
    </row>
    <row r="642" spans="3:3" ht="15.75" customHeight="1" x14ac:dyDescent="0.3">
      <c r="C642" s="2"/>
    </row>
    <row r="643" spans="3:3" ht="15.75" customHeight="1" x14ac:dyDescent="0.3">
      <c r="C643" s="2"/>
    </row>
    <row r="644" spans="3:3" ht="15.75" customHeight="1" x14ac:dyDescent="0.3">
      <c r="C644" s="2"/>
    </row>
    <row r="645" spans="3:3" ht="15.75" customHeight="1" x14ac:dyDescent="0.3">
      <c r="C645" s="2"/>
    </row>
    <row r="646" spans="3:3" ht="15.75" customHeight="1" x14ac:dyDescent="0.3">
      <c r="C646" s="2"/>
    </row>
    <row r="647" spans="3:3" ht="15.75" customHeight="1" x14ac:dyDescent="0.3">
      <c r="C647" s="2"/>
    </row>
    <row r="648" spans="3:3" ht="15.75" customHeight="1" x14ac:dyDescent="0.3">
      <c r="C648" s="2"/>
    </row>
    <row r="649" spans="3:3" ht="15.75" customHeight="1" x14ac:dyDescent="0.3">
      <c r="C649" s="2"/>
    </row>
    <row r="650" spans="3:3" ht="15.75" customHeight="1" x14ac:dyDescent="0.3">
      <c r="C650" s="2"/>
    </row>
    <row r="651" spans="3:3" ht="15.75" customHeight="1" x14ac:dyDescent="0.3">
      <c r="C651" s="2"/>
    </row>
    <row r="652" spans="3:3" ht="15.75" customHeight="1" x14ac:dyDescent="0.3">
      <c r="C652" s="2"/>
    </row>
    <row r="653" spans="3:3" ht="15.75" customHeight="1" x14ac:dyDescent="0.3">
      <c r="C653" s="2"/>
    </row>
    <row r="654" spans="3:3" ht="15.75" customHeight="1" x14ac:dyDescent="0.3">
      <c r="C654" s="2"/>
    </row>
    <row r="655" spans="3:3" ht="15.75" customHeight="1" x14ac:dyDescent="0.3">
      <c r="C655" s="2"/>
    </row>
    <row r="656" spans="3:3" ht="15.75" customHeight="1" x14ac:dyDescent="0.3">
      <c r="C656" s="2"/>
    </row>
    <row r="657" spans="3:3" ht="15.75" customHeight="1" x14ac:dyDescent="0.3">
      <c r="C657" s="2"/>
    </row>
    <row r="658" spans="3:3" ht="15.75" customHeight="1" x14ac:dyDescent="0.3">
      <c r="C658" s="2"/>
    </row>
    <row r="659" spans="3:3" ht="15.75" customHeight="1" x14ac:dyDescent="0.3">
      <c r="C659" s="2"/>
    </row>
    <row r="660" spans="3:3" ht="15.75" customHeight="1" x14ac:dyDescent="0.3">
      <c r="C660" s="2"/>
    </row>
    <row r="661" spans="3:3" ht="15.75" customHeight="1" x14ac:dyDescent="0.3">
      <c r="C661" s="2"/>
    </row>
    <row r="662" spans="3:3" ht="15.75" customHeight="1" x14ac:dyDescent="0.3">
      <c r="C662" s="2"/>
    </row>
    <row r="663" spans="3:3" ht="15.75" customHeight="1" x14ac:dyDescent="0.3">
      <c r="C663" s="2"/>
    </row>
    <row r="664" spans="3:3" ht="15.75" customHeight="1" x14ac:dyDescent="0.3">
      <c r="C664" s="2"/>
    </row>
    <row r="665" spans="3:3" ht="15.75" customHeight="1" x14ac:dyDescent="0.3">
      <c r="C665" s="2"/>
    </row>
    <row r="666" spans="3:3" ht="15.75" customHeight="1" x14ac:dyDescent="0.3">
      <c r="C666" s="2"/>
    </row>
    <row r="667" spans="3:3" ht="15.75" customHeight="1" x14ac:dyDescent="0.3">
      <c r="C667" s="2"/>
    </row>
    <row r="668" spans="3:3" ht="15.75" customHeight="1" x14ac:dyDescent="0.3">
      <c r="C668" s="2"/>
    </row>
    <row r="669" spans="3:3" ht="15.75" customHeight="1" x14ac:dyDescent="0.3">
      <c r="C669" s="2"/>
    </row>
    <row r="670" spans="3:3" ht="15.75" customHeight="1" x14ac:dyDescent="0.3">
      <c r="C670" s="2"/>
    </row>
    <row r="671" spans="3:3" ht="15.75" customHeight="1" x14ac:dyDescent="0.3">
      <c r="C671" s="2"/>
    </row>
    <row r="672" spans="3:3" ht="15.75" customHeight="1" x14ac:dyDescent="0.3">
      <c r="C672" s="2"/>
    </row>
    <row r="673" spans="3:3" ht="15.75" customHeight="1" x14ac:dyDescent="0.3">
      <c r="C673" s="2"/>
    </row>
    <row r="674" spans="3:3" ht="15.75" customHeight="1" x14ac:dyDescent="0.3">
      <c r="C674" s="2"/>
    </row>
    <row r="675" spans="3:3" ht="15.75" customHeight="1" x14ac:dyDescent="0.3">
      <c r="C675" s="2"/>
    </row>
    <row r="676" spans="3:3" ht="15.75" customHeight="1" x14ac:dyDescent="0.3">
      <c r="C676" s="2"/>
    </row>
    <row r="677" spans="3:3" ht="15.75" customHeight="1" x14ac:dyDescent="0.3">
      <c r="C677" s="2"/>
    </row>
    <row r="678" spans="3:3" ht="15.75" customHeight="1" x14ac:dyDescent="0.3">
      <c r="C678" s="2"/>
    </row>
    <row r="679" spans="3:3" ht="15.75" customHeight="1" x14ac:dyDescent="0.3">
      <c r="C679" s="2"/>
    </row>
    <row r="680" spans="3:3" ht="15.75" customHeight="1" x14ac:dyDescent="0.3">
      <c r="C680" s="2"/>
    </row>
    <row r="681" spans="3:3" ht="15.75" customHeight="1" x14ac:dyDescent="0.3">
      <c r="C681" s="2"/>
    </row>
    <row r="682" spans="3:3" ht="15.75" customHeight="1" x14ac:dyDescent="0.3">
      <c r="C682" s="2"/>
    </row>
    <row r="683" spans="3:3" ht="15.75" customHeight="1" x14ac:dyDescent="0.3">
      <c r="C683" s="2"/>
    </row>
    <row r="684" spans="3:3" ht="15.75" customHeight="1" x14ac:dyDescent="0.3">
      <c r="C684" s="2"/>
    </row>
    <row r="685" spans="3:3" ht="15.75" customHeight="1" x14ac:dyDescent="0.3">
      <c r="C685" s="2"/>
    </row>
    <row r="686" spans="3:3" ht="15.75" customHeight="1" x14ac:dyDescent="0.3">
      <c r="C686" s="2"/>
    </row>
    <row r="687" spans="3:3" ht="15.75" customHeight="1" x14ac:dyDescent="0.3">
      <c r="C687" s="2"/>
    </row>
    <row r="688" spans="3:3" ht="15.75" customHeight="1" x14ac:dyDescent="0.3">
      <c r="C688" s="2"/>
    </row>
    <row r="689" spans="3:3" ht="15.75" customHeight="1" x14ac:dyDescent="0.3">
      <c r="C689" s="2"/>
    </row>
    <row r="690" spans="3:3" ht="15.75" customHeight="1" x14ac:dyDescent="0.3">
      <c r="C690" s="2"/>
    </row>
    <row r="691" spans="3:3" ht="15.75" customHeight="1" x14ac:dyDescent="0.3">
      <c r="C691" s="2"/>
    </row>
    <row r="692" spans="3:3" ht="15.75" customHeight="1" x14ac:dyDescent="0.3">
      <c r="C692" s="2"/>
    </row>
    <row r="693" spans="3:3" ht="15.75" customHeight="1" x14ac:dyDescent="0.3">
      <c r="C693" s="2"/>
    </row>
    <row r="694" spans="3:3" ht="15.75" customHeight="1" x14ac:dyDescent="0.3">
      <c r="C694" s="2"/>
    </row>
    <row r="695" spans="3:3" ht="15.75" customHeight="1" x14ac:dyDescent="0.3">
      <c r="C695" s="2"/>
    </row>
    <row r="696" spans="3:3" ht="15.75" customHeight="1" x14ac:dyDescent="0.3">
      <c r="C696" s="2"/>
    </row>
    <row r="697" spans="3:3" ht="15.75" customHeight="1" x14ac:dyDescent="0.3">
      <c r="C697" s="2"/>
    </row>
    <row r="698" spans="3:3" ht="15.75" customHeight="1" x14ac:dyDescent="0.3">
      <c r="C698" s="2"/>
    </row>
    <row r="699" spans="3:3" ht="15.75" customHeight="1" x14ac:dyDescent="0.3">
      <c r="C699" s="2"/>
    </row>
    <row r="700" spans="3:3" ht="15.75" customHeight="1" x14ac:dyDescent="0.3">
      <c r="C700" s="2"/>
    </row>
    <row r="701" spans="3:3" ht="15.75" customHeight="1" x14ac:dyDescent="0.3">
      <c r="C701" s="2"/>
    </row>
    <row r="702" spans="3:3" ht="15.75" customHeight="1" x14ac:dyDescent="0.3">
      <c r="C702" s="2"/>
    </row>
    <row r="703" spans="3:3" ht="15.75" customHeight="1" x14ac:dyDescent="0.3">
      <c r="C703" s="2"/>
    </row>
    <row r="704" spans="3:3" ht="15.75" customHeight="1" x14ac:dyDescent="0.3">
      <c r="C704" s="2"/>
    </row>
    <row r="705" spans="3:3" ht="15.75" customHeight="1" x14ac:dyDescent="0.3">
      <c r="C705" s="2"/>
    </row>
    <row r="706" spans="3:3" ht="15.75" customHeight="1" x14ac:dyDescent="0.3">
      <c r="C706" s="2"/>
    </row>
    <row r="707" spans="3:3" ht="15.75" customHeight="1" x14ac:dyDescent="0.3">
      <c r="C707" s="2"/>
    </row>
    <row r="708" spans="3:3" ht="15.75" customHeight="1" x14ac:dyDescent="0.3">
      <c r="C708" s="2"/>
    </row>
    <row r="709" spans="3:3" ht="15.75" customHeight="1" x14ac:dyDescent="0.3">
      <c r="C709" s="2"/>
    </row>
    <row r="710" spans="3:3" ht="15.75" customHeight="1" x14ac:dyDescent="0.3">
      <c r="C710" s="2"/>
    </row>
    <row r="711" spans="3:3" ht="15.75" customHeight="1" x14ac:dyDescent="0.3">
      <c r="C711" s="2"/>
    </row>
    <row r="712" spans="3:3" ht="15.75" customHeight="1" x14ac:dyDescent="0.3">
      <c r="C712" s="2"/>
    </row>
    <row r="713" spans="3:3" ht="15.75" customHeight="1" x14ac:dyDescent="0.3">
      <c r="C713" s="2"/>
    </row>
    <row r="714" spans="3:3" ht="15.75" customHeight="1" x14ac:dyDescent="0.3">
      <c r="C714" s="2"/>
    </row>
    <row r="715" spans="3:3" ht="15.75" customHeight="1" x14ac:dyDescent="0.3">
      <c r="C715" s="2"/>
    </row>
    <row r="716" spans="3:3" ht="15.75" customHeight="1" x14ac:dyDescent="0.3">
      <c r="C716" s="2"/>
    </row>
    <row r="717" spans="3:3" ht="15.75" customHeight="1" x14ac:dyDescent="0.3">
      <c r="C717" s="2"/>
    </row>
    <row r="718" spans="3:3" ht="15.75" customHeight="1" x14ac:dyDescent="0.3">
      <c r="C718" s="2"/>
    </row>
    <row r="719" spans="3:3" ht="15.75" customHeight="1" x14ac:dyDescent="0.3">
      <c r="C719" s="2"/>
    </row>
    <row r="720" spans="3:3" ht="15.75" customHeight="1" x14ac:dyDescent="0.3">
      <c r="C720" s="2"/>
    </row>
    <row r="721" spans="3:3" ht="15.75" customHeight="1" x14ac:dyDescent="0.3">
      <c r="C721" s="2"/>
    </row>
    <row r="722" spans="3:3" ht="15.75" customHeight="1" x14ac:dyDescent="0.3">
      <c r="C722" s="2"/>
    </row>
    <row r="723" spans="3:3" ht="15.75" customHeight="1" x14ac:dyDescent="0.3">
      <c r="C723" s="2"/>
    </row>
    <row r="724" spans="3:3" ht="15.75" customHeight="1" x14ac:dyDescent="0.3">
      <c r="C724" s="2"/>
    </row>
    <row r="725" spans="3:3" ht="15.75" customHeight="1" x14ac:dyDescent="0.3">
      <c r="C725" s="2"/>
    </row>
    <row r="726" spans="3:3" ht="15.75" customHeight="1" x14ac:dyDescent="0.3">
      <c r="C726" s="2"/>
    </row>
    <row r="727" spans="3:3" ht="15.75" customHeight="1" x14ac:dyDescent="0.3">
      <c r="C727" s="2"/>
    </row>
    <row r="728" spans="3:3" ht="15.75" customHeight="1" x14ac:dyDescent="0.3">
      <c r="C728" s="2"/>
    </row>
    <row r="729" spans="3:3" ht="15.75" customHeight="1" x14ac:dyDescent="0.3">
      <c r="C729" s="2"/>
    </row>
    <row r="730" spans="3:3" ht="15.75" customHeight="1" x14ac:dyDescent="0.3">
      <c r="C730" s="2"/>
    </row>
    <row r="731" spans="3:3" ht="15.75" customHeight="1" x14ac:dyDescent="0.3">
      <c r="C731" s="2"/>
    </row>
    <row r="732" spans="3:3" ht="15.75" customHeight="1" x14ac:dyDescent="0.3">
      <c r="C732" s="2"/>
    </row>
    <row r="733" spans="3:3" ht="15.75" customHeight="1" x14ac:dyDescent="0.3">
      <c r="C733" s="2"/>
    </row>
    <row r="734" spans="3:3" ht="15.75" customHeight="1" x14ac:dyDescent="0.3">
      <c r="C734" s="2"/>
    </row>
    <row r="735" spans="3:3" ht="15.75" customHeight="1" x14ac:dyDescent="0.3">
      <c r="C735" s="2"/>
    </row>
    <row r="736" spans="3:3" ht="15.75" customHeight="1" x14ac:dyDescent="0.3">
      <c r="C736" s="2"/>
    </row>
    <row r="737" spans="3:3" ht="15.75" customHeight="1" x14ac:dyDescent="0.3">
      <c r="C737" s="2"/>
    </row>
    <row r="738" spans="3:3" ht="15.75" customHeight="1" x14ac:dyDescent="0.3">
      <c r="C738" s="2"/>
    </row>
    <row r="739" spans="3:3" ht="15.75" customHeight="1" x14ac:dyDescent="0.3">
      <c r="C739" s="2"/>
    </row>
    <row r="740" spans="3:3" ht="15.75" customHeight="1" x14ac:dyDescent="0.3">
      <c r="C740" s="2"/>
    </row>
    <row r="741" spans="3:3" ht="15.75" customHeight="1" x14ac:dyDescent="0.3">
      <c r="C741" s="2"/>
    </row>
    <row r="742" spans="3:3" ht="15.75" customHeight="1" x14ac:dyDescent="0.3">
      <c r="C742" s="2"/>
    </row>
    <row r="743" spans="3:3" ht="15.75" customHeight="1" x14ac:dyDescent="0.3">
      <c r="C743" s="2"/>
    </row>
    <row r="744" spans="3:3" ht="15.75" customHeight="1" x14ac:dyDescent="0.3">
      <c r="C744" s="2"/>
    </row>
    <row r="745" spans="3:3" ht="15.75" customHeight="1" x14ac:dyDescent="0.3">
      <c r="C745" s="2"/>
    </row>
    <row r="746" spans="3:3" ht="15.75" customHeight="1" x14ac:dyDescent="0.3">
      <c r="C746" s="2"/>
    </row>
    <row r="747" spans="3:3" ht="15.75" customHeight="1" x14ac:dyDescent="0.3">
      <c r="C747" s="2"/>
    </row>
    <row r="748" spans="3:3" ht="15.75" customHeight="1" x14ac:dyDescent="0.3">
      <c r="C748" s="2"/>
    </row>
    <row r="749" spans="3:3" ht="15.75" customHeight="1" x14ac:dyDescent="0.3">
      <c r="C749" s="2"/>
    </row>
    <row r="750" spans="3:3" ht="15.75" customHeight="1" x14ac:dyDescent="0.3">
      <c r="C750" s="2"/>
    </row>
    <row r="751" spans="3:3" ht="15.75" customHeight="1" x14ac:dyDescent="0.3">
      <c r="C751" s="2"/>
    </row>
    <row r="752" spans="3:3" ht="15.75" customHeight="1" x14ac:dyDescent="0.3">
      <c r="C752" s="2"/>
    </row>
    <row r="753" spans="3:3" ht="15.75" customHeight="1" x14ac:dyDescent="0.3">
      <c r="C753" s="2"/>
    </row>
    <row r="754" spans="3:3" ht="15.75" customHeight="1" x14ac:dyDescent="0.3">
      <c r="C754" s="2"/>
    </row>
    <row r="755" spans="3:3" ht="15.75" customHeight="1" x14ac:dyDescent="0.3">
      <c r="C755" s="2"/>
    </row>
    <row r="756" spans="3:3" ht="15.75" customHeight="1" x14ac:dyDescent="0.3">
      <c r="C756" s="2"/>
    </row>
    <row r="757" spans="3:3" ht="15.75" customHeight="1" x14ac:dyDescent="0.3">
      <c r="C757" s="2"/>
    </row>
    <row r="758" spans="3:3" ht="15.75" customHeight="1" x14ac:dyDescent="0.3">
      <c r="C758" s="2"/>
    </row>
    <row r="759" spans="3:3" ht="15.75" customHeight="1" x14ac:dyDescent="0.3">
      <c r="C759" s="2"/>
    </row>
    <row r="760" spans="3:3" ht="15.75" customHeight="1" x14ac:dyDescent="0.3">
      <c r="C760" s="2"/>
    </row>
    <row r="761" spans="3:3" ht="15.75" customHeight="1" x14ac:dyDescent="0.3">
      <c r="C761" s="2"/>
    </row>
    <row r="762" spans="3:3" ht="15.75" customHeight="1" x14ac:dyDescent="0.3">
      <c r="C762" s="2"/>
    </row>
    <row r="763" spans="3:3" ht="15.75" customHeight="1" x14ac:dyDescent="0.3">
      <c r="C763" s="2"/>
    </row>
    <row r="764" spans="3:3" ht="15.75" customHeight="1" x14ac:dyDescent="0.3">
      <c r="C764" s="2"/>
    </row>
    <row r="765" spans="3:3" ht="15.75" customHeight="1" x14ac:dyDescent="0.3">
      <c r="C765" s="2"/>
    </row>
    <row r="766" spans="3:3" ht="15.75" customHeight="1" x14ac:dyDescent="0.3">
      <c r="C766" s="2"/>
    </row>
    <row r="767" spans="3:3" ht="15.75" customHeight="1" x14ac:dyDescent="0.3">
      <c r="C767" s="2"/>
    </row>
    <row r="768" spans="3:3" ht="15.75" customHeight="1" x14ac:dyDescent="0.3">
      <c r="C768" s="2"/>
    </row>
    <row r="769" spans="3:3" ht="15.75" customHeight="1" x14ac:dyDescent="0.3">
      <c r="C769" s="2"/>
    </row>
    <row r="770" spans="3:3" ht="15.75" customHeight="1" x14ac:dyDescent="0.3">
      <c r="C770" s="2"/>
    </row>
    <row r="771" spans="3:3" ht="15.75" customHeight="1" x14ac:dyDescent="0.3">
      <c r="C771" s="2"/>
    </row>
    <row r="772" spans="3:3" ht="15.75" customHeight="1" x14ac:dyDescent="0.3">
      <c r="C772" s="2"/>
    </row>
    <row r="773" spans="3:3" ht="15.75" customHeight="1" x14ac:dyDescent="0.3">
      <c r="C773" s="2"/>
    </row>
    <row r="774" spans="3:3" ht="15.75" customHeight="1" x14ac:dyDescent="0.3">
      <c r="C774" s="2"/>
    </row>
    <row r="775" spans="3:3" ht="15.75" customHeight="1" x14ac:dyDescent="0.3">
      <c r="C775" s="2"/>
    </row>
    <row r="776" spans="3:3" ht="15.75" customHeight="1" x14ac:dyDescent="0.3">
      <c r="C776" s="2"/>
    </row>
    <row r="777" spans="3:3" ht="15.75" customHeight="1" x14ac:dyDescent="0.3">
      <c r="C777" s="2"/>
    </row>
    <row r="778" spans="3:3" ht="15.75" customHeight="1" x14ac:dyDescent="0.3">
      <c r="C778" s="2"/>
    </row>
    <row r="779" spans="3:3" ht="15.75" customHeight="1" x14ac:dyDescent="0.3">
      <c r="C779" s="2"/>
    </row>
    <row r="780" spans="3:3" ht="15.75" customHeight="1" x14ac:dyDescent="0.3">
      <c r="C780" s="2"/>
    </row>
    <row r="781" spans="3:3" ht="15.75" customHeight="1" x14ac:dyDescent="0.3">
      <c r="C781" s="2"/>
    </row>
    <row r="782" spans="3:3" ht="15.75" customHeight="1" x14ac:dyDescent="0.3">
      <c r="C782" s="2"/>
    </row>
    <row r="783" spans="3:3" ht="15.75" customHeight="1" x14ac:dyDescent="0.3">
      <c r="C783" s="2"/>
    </row>
    <row r="784" spans="3:3" ht="15.75" customHeight="1" x14ac:dyDescent="0.3">
      <c r="C784" s="2"/>
    </row>
    <row r="785" spans="3:3" ht="15.75" customHeight="1" x14ac:dyDescent="0.3">
      <c r="C785" s="2"/>
    </row>
    <row r="786" spans="3:3" ht="15.75" customHeight="1" x14ac:dyDescent="0.3">
      <c r="C786" s="2"/>
    </row>
    <row r="787" spans="3:3" ht="15.75" customHeight="1" x14ac:dyDescent="0.3">
      <c r="C787" s="2"/>
    </row>
    <row r="788" spans="3:3" ht="15.75" customHeight="1" x14ac:dyDescent="0.3">
      <c r="C788" s="2"/>
    </row>
    <row r="789" spans="3:3" ht="15.75" customHeight="1" x14ac:dyDescent="0.3">
      <c r="C789" s="2"/>
    </row>
    <row r="790" spans="3:3" ht="15.75" customHeight="1" x14ac:dyDescent="0.3">
      <c r="C790" s="2"/>
    </row>
    <row r="791" spans="3:3" ht="15.75" customHeight="1" x14ac:dyDescent="0.3">
      <c r="C791" s="2"/>
    </row>
    <row r="792" spans="3:3" ht="15.75" customHeight="1" x14ac:dyDescent="0.3">
      <c r="C792" s="2"/>
    </row>
    <row r="793" spans="3:3" ht="15.75" customHeight="1" x14ac:dyDescent="0.3">
      <c r="C793" s="2"/>
    </row>
    <row r="794" spans="3:3" ht="15.75" customHeight="1" x14ac:dyDescent="0.3">
      <c r="C794" s="2"/>
    </row>
    <row r="795" spans="3:3" ht="15.75" customHeight="1" x14ac:dyDescent="0.3">
      <c r="C795" s="2"/>
    </row>
    <row r="796" spans="3:3" ht="15.75" customHeight="1" x14ac:dyDescent="0.3">
      <c r="C796" s="2"/>
    </row>
    <row r="797" spans="3:3" ht="15.75" customHeight="1" x14ac:dyDescent="0.3">
      <c r="C797" s="2"/>
    </row>
    <row r="798" spans="3:3" ht="15.75" customHeight="1" x14ac:dyDescent="0.3">
      <c r="C798" s="2"/>
    </row>
    <row r="799" spans="3:3" ht="15.75" customHeight="1" x14ac:dyDescent="0.3">
      <c r="C799" s="2"/>
    </row>
    <row r="800" spans="3:3" ht="15.75" customHeight="1" x14ac:dyDescent="0.3">
      <c r="C800" s="2"/>
    </row>
    <row r="801" spans="3:3" ht="15.75" customHeight="1" x14ac:dyDescent="0.3">
      <c r="C801" s="2"/>
    </row>
    <row r="802" spans="3:3" ht="15.75" customHeight="1" x14ac:dyDescent="0.3">
      <c r="C802" s="2"/>
    </row>
    <row r="803" spans="3:3" ht="15.75" customHeight="1" x14ac:dyDescent="0.3">
      <c r="C803" s="2"/>
    </row>
    <row r="804" spans="3:3" ht="15.75" customHeight="1" x14ac:dyDescent="0.3">
      <c r="C804" s="2"/>
    </row>
    <row r="805" spans="3:3" ht="15.75" customHeight="1" x14ac:dyDescent="0.3">
      <c r="C805" s="2"/>
    </row>
    <row r="806" spans="3:3" ht="15.75" customHeight="1" x14ac:dyDescent="0.3">
      <c r="C806" s="2"/>
    </row>
    <row r="807" spans="3:3" ht="15.75" customHeight="1" x14ac:dyDescent="0.3">
      <c r="C807" s="2"/>
    </row>
    <row r="808" spans="3:3" ht="15.75" customHeight="1" x14ac:dyDescent="0.3">
      <c r="C808" s="2"/>
    </row>
    <row r="809" spans="3:3" ht="15.75" customHeight="1" x14ac:dyDescent="0.3">
      <c r="C809" s="2"/>
    </row>
    <row r="810" spans="3:3" ht="15.75" customHeight="1" x14ac:dyDescent="0.3">
      <c r="C810" s="2"/>
    </row>
    <row r="811" spans="3:3" ht="15.75" customHeight="1" x14ac:dyDescent="0.3">
      <c r="C811" s="2"/>
    </row>
    <row r="812" spans="3:3" ht="15.75" customHeight="1" x14ac:dyDescent="0.3">
      <c r="C812" s="2"/>
    </row>
    <row r="813" spans="3:3" ht="15.75" customHeight="1" x14ac:dyDescent="0.3">
      <c r="C813" s="2"/>
    </row>
    <row r="814" spans="3:3" ht="15.75" customHeight="1" x14ac:dyDescent="0.3">
      <c r="C814" s="2"/>
    </row>
    <row r="815" spans="3:3" ht="15.75" customHeight="1" x14ac:dyDescent="0.3">
      <c r="C815" s="2"/>
    </row>
    <row r="816" spans="3:3" ht="15.75" customHeight="1" x14ac:dyDescent="0.3">
      <c r="C816" s="2"/>
    </row>
    <row r="817" spans="3:3" ht="15.75" customHeight="1" x14ac:dyDescent="0.3">
      <c r="C817" s="2"/>
    </row>
    <row r="818" spans="3:3" ht="15.75" customHeight="1" x14ac:dyDescent="0.3">
      <c r="C818" s="2"/>
    </row>
    <row r="819" spans="3:3" ht="15.75" customHeight="1" x14ac:dyDescent="0.3">
      <c r="C819" s="2"/>
    </row>
    <row r="820" spans="3:3" ht="15.75" customHeight="1" x14ac:dyDescent="0.3">
      <c r="C820" s="2"/>
    </row>
    <row r="821" spans="3:3" ht="15.75" customHeight="1" x14ac:dyDescent="0.3">
      <c r="C821" s="2"/>
    </row>
    <row r="822" spans="3:3" ht="15.75" customHeight="1" x14ac:dyDescent="0.3">
      <c r="C822" s="2"/>
    </row>
    <row r="823" spans="3:3" ht="15.75" customHeight="1" x14ac:dyDescent="0.3">
      <c r="C823" s="2"/>
    </row>
    <row r="824" spans="3:3" ht="15.75" customHeight="1" x14ac:dyDescent="0.3">
      <c r="C824" s="2"/>
    </row>
    <row r="825" spans="3:3" ht="15.75" customHeight="1" x14ac:dyDescent="0.3">
      <c r="C825" s="2"/>
    </row>
    <row r="826" spans="3:3" ht="15.75" customHeight="1" x14ac:dyDescent="0.3">
      <c r="C826" s="2"/>
    </row>
    <row r="827" spans="3:3" ht="15.75" customHeight="1" x14ac:dyDescent="0.3">
      <c r="C827" s="2"/>
    </row>
    <row r="828" spans="3:3" ht="15.75" customHeight="1" x14ac:dyDescent="0.3">
      <c r="C828" s="2"/>
    </row>
    <row r="829" spans="3:3" ht="15.75" customHeight="1" x14ac:dyDescent="0.3">
      <c r="C829" s="2"/>
    </row>
    <row r="830" spans="3:3" ht="15.75" customHeight="1" x14ac:dyDescent="0.3">
      <c r="C830" s="2"/>
    </row>
    <row r="831" spans="3:3" ht="15.75" customHeight="1" x14ac:dyDescent="0.3">
      <c r="C831" s="2"/>
    </row>
    <row r="832" spans="3:3" ht="15.75" customHeight="1" x14ac:dyDescent="0.3">
      <c r="C832" s="2"/>
    </row>
    <row r="833" spans="3:3" ht="15.75" customHeight="1" x14ac:dyDescent="0.3">
      <c r="C833" s="2"/>
    </row>
    <row r="834" spans="3:3" ht="15.75" customHeight="1" x14ac:dyDescent="0.3">
      <c r="C834" s="2"/>
    </row>
    <row r="835" spans="3:3" ht="15.75" customHeight="1" x14ac:dyDescent="0.3">
      <c r="C835" s="2"/>
    </row>
    <row r="836" spans="3:3" ht="15.75" customHeight="1" x14ac:dyDescent="0.3">
      <c r="C836" s="2"/>
    </row>
    <row r="837" spans="3:3" ht="15.75" customHeight="1" x14ac:dyDescent="0.3">
      <c r="C837" s="2"/>
    </row>
    <row r="838" spans="3:3" ht="15.75" customHeight="1" x14ac:dyDescent="0.3">
      <c r="C838" s="2"/>
    </row>
    <row r="839" spans="3:3" ht="15.75" customHeight="1" x14ac:dyDescent="0.3">
      <c r="C839" s="2"/>
    </row>
    <row r="840" spans="3:3" ht="15.75" customHeight="1" x14ac:dyDescent="0.3">
      <c r="C840" s="2"/>
    </row>
    <row r="841" spans="3:3" ht="15.75" customHeight="1" x14ac:dyDescent="0.3">
      <c r="C841" s="2"/>
    </row>
    <row r="842" spans="3:3" ht="15.75" customHeight="1" x14ac:dyDescent="0.3">
      <c r="C842" s="2"/>
    </row>
    <row r="843" spans="3:3" ht="15.75" customHeight="1" x14ac:dyDescent="0.3">
      <c r="C843" s="2"/>
    </row>
    <row r="844" spans="3:3" ht="15.75" customHeight="1" x14ac:dyDescent="0.3">
      <c r="C844" s="2"/>
    </row>
    <row r="845" spans="3:3" ht="15.75" customHeight="1" x14ac:dyDescent="0.3">
      <c r="C845" s="2"/>
    </row>
    <row r="846" spans="3:3" ht="15.75" customHeight="1" x14ac:dyDescent="0.3">
      <c r="C846" s="2"/>
    </row>
    <row r="847" spans="3:3" ht="15.75" customHeight="1" x14ac:dyDescent="0.3">
      <c r="C847" s="2"/>
    </row>
    <row r="848" spans="3:3" ht="15.75" customHeight="1" x14ac:dyDescent="0.3">
      <c r="C848" s="2"/>
    </row>
    <row r="849" spans="3:3" ht="15.75" customHeight="1" x14ac:dyDescent="0.3">
      <c r="C849" s="2"/>
    </row>
    <row r="850" spans="3:3" ht="15.75" customHeight="1" x14ac:dyDescent="0.3">
      <c r="C850" s="2"/>
    </row>
    <row r="851" spans="3:3" ht="15.75" customHeight="1" x14ac:dyDescent="0.3">
      <c r="C851" s="2"/>
    </row>
    <row r="852" spans="3:3" ht="15.75" customHeight="1" x14ac:dyDescent="0.3">
      <c r="C852" s="2"/>
    </row>
    <row r="853" spans="3:3" ht="15.75" customHeight="1" x14ac:dyDescent="0.3">
      <c r="C853" s="2"/>
    </row>
    <row r="854" spans="3:3" ht="15.75" customHeight="1" x14ac:dyDescent="0.3">
      <c r="C854" s="2"/>
    </row>
    <row r="855" spans="3:3" ht="15.75" customHeight="1" x14ac:dyDescent="0.3">
      <c r="C855" s="2"/>
    </row>
    <row r="856" spans="3:3" ht="15.75" customHeight="1" x14ac:dyDescent="0.3">
      <c r="C856" s="2"/>
    </row>
    <row r="857" spans="3:3" ht="15.75" customHeight="1" x14ac:dyDescent="0.3">
      <c r="C857" s="2"/>
    </row>
    <row r="858" spans="3:3" ht="15.75" customHeight="1" x14ac:dyDescent="0.3">
      <c r="C858" s="2"/>
    </row>
    <row r="859" spans="3:3" ht="15.75" customHeight="1" x14ac:dyDescent="0.3">
      <c r="C859" s="2"/>
    </row>
    <row r="860" spans="3:3" ht="15.75" customHeight="1" x14ac:dyDescent="0.3">
      <c r="C860" s="2"/>
    </row>
    <row r="861" spans="3:3" ht="15.75" customHeight="1" x14ac:dyDescent="0.3">
      <c r="C861" s="2"/>
    </row>
    <row r="862" spans="3:3" ht="15.75" customHeight="1" x14ac:dyDescent="0.3">
      <c r="C862" s="2"/>
    </row>
    <row r="863" spans="3:3" ht="15.75" customHeight="1" x14ac:dyDescent="0.3">
      <c r="C863" s="2"/>
    </row>
    <row r="864" spans="3:3" ht="15.75" customHeight="1" x14ac:dyDescent="0.3">
      <c r="C864" s="2"/>
    </row>
    <row r="865" spans="3:3" ht="15.75" customHeight="1" x14ac:dyDescent="0.3">
      <c r="C865" s="2"/>
    </row>
    <row r="866" spans="3:3" ht="15.75" customHeight="1" x14ac:dyDescent="0.3">
      <c r="C866" s="2"/>
    </row>
    <row r="867" spans="3:3" ht="15.75" customHeight="1" x14ac:dyDescent="0.3">
      <c r="C867" s="2"/>
    </row>
    <row r="868" spans="3:3" ht="15.75" customHeight="1" x14ac:dyDescent="0.3">
      <c r="C868" s="2"/>
    </row>
    <row r="869" spans="3:3" ht="15.75" customHeight="1" x14ac:dyDescent="0.3">
      <c r="C869" s="2"/>
    </row>
    <row r="870" spans="3:3" ht="15.75" customHeight="1" x14ac:dyDescent="0.3">
      <c r="C870" s="2"/>
    </row>
    <row r="871" spans="3:3" ht="15.75" customHeight="1" x14ac:dyDescent="0.3">
      <c r="C871" s="2"/>
    </row>
    <row r="872" spans="3:3" ht="15.75" customHeight="1" x14ac:dyDescent="0.3">
      <c r="C872" s="2"/>
    </row>
    <row r="873" spans="3:3" ht="15.75" customHeight="1" x14ac:dyDescent="0.3">
      <c r="C873" s="2"/>
    </row>
    <row r="874" spans="3:3" ht="15.75" customHeight="1" x14ac:dyDescent="0.3">
      <c r="C874" s="2"/>
    </row>
    <row r="875" spans="3:3" ht="15.75" customHeight="1" x14ac:dyDescent="0.3">
      <c r="C875" s="2"/>
    </row>
    <row r="876" spans="3:3" ht="15.75" customHeight="1" x14ac:dyDescent="0.3">
      <c r="C876" s="2"/>
    </row>
    <row r="877" spans="3:3" ht="15.75" customHeight="1" x14ac:dyDescent="0.3">
      <c r="C877" s="2"/>
    </row>
    <row r="878" spans="3:3" ht="15.75" customHeight="1" x14ac:dyDescent="0.3">
      <c r="C878" s="2"/>
    </row>
    <row r="879" spans="3:3" ht="15.75" customHeight="1" x14ac:dyDescent="0.3">
      <c r="C879" s="2"/>
    </row>
    <row r="880" spans="3:3" ht="15.75" customHeight="1" x14ac:dyDescent="0.3">
      <c r="C880" s="2"/>
    </row>
    <row r="881" spans="3:3" ht="15.75" customHeight="1" x14ac:dyDescent="0.3">
      <c r="C881" s="2"/>
    </row>
    <row r="882" spans="3:3" ht="15.75" customHeight="1" x14ac:dyDescent="0.3">
      <c r="C882" s="2"/>
    </row>
    <row r="883" spans="3:3" ht="15.75" customHeight="1" x14ac:dyDescent="0.3">
      <c r="C883" s="2"/>
    </row>
    <row r="884" spans="3:3" ht="15.75" customHeight="1" x14ac:dyDescent="0.3">
      <c r="C884" s="2"/>
    </row>
    <row r="885" spans="3:3" ht="15.75" customHeight="1" x14ac:dyDescent="0.3">
      <c r="C885" s="2"/>
    </row>
    <row r="886" spans="3:3" ht="15.75" customHeight="1" x14ac:dyDescent="0.3">
      <c r="C886" s="2"/>
    </row>
    <row r="887" spans="3:3" ht="15.75" customHeight="1" x14ac:dyDescent="0.3">
      <c r="C887" s="2"/>
    </row>
    <row r="888" spans="3:3" ht="15.75" customHeight="1" x14ac:dyDescent="0.3">
      <c r="C888" s="2"/>
    </row>
    <row r="889" spans="3:3" ht="15.75" customHeight="1" x14ac:dyDescent="0.3">
      <c r="C889" s="2"/>
    </row>
    <row r="890" spans="3:3" ht="15.75" customHeight="1" x14ac:dyDescent="0.3">
      <c r="C890" s="2"/>
    </row>
    <row r="891" spans="3:3" ht="15.75" customHeight="1" x14ac:dyDescent="0.3">
      <c r="C891" s="2"/>
    </row>
    <row r="892" spans="3:3" ht="15.75" customHeight="1" x14ac:dyDescent="0.3">
      <c r="C892" s="2"/>
    </row>
    <row r="893" spans="3:3" ht="15.75" customHeight="1" x14ac:dyDescent="0.3">
      <c r="C893" s="2"/>
    </row>
    <row r="894" spans="3:3" ht="15.75" customHeight="1" x14ac:dyDescent="0.3">
      <c r="C894" s="2"/>
    </row>
    <row r="895" spans="3:3" ht="15.75" customHeight="1" x14ac:dyDescent="0.3">
      <c r="C895" s="2"/>
    </row>
    <row r="896" spans="3:3" ht="15.75" customHeight="1" x14ac:dyDescent="0.3">
      <c r="C896" s="2"/>
    </row>
    <row r="897" spans="3:3" ht="15.75" customHeight="1" x14ac:dyDescent="0.3">
      <c r="C897" s="2"/>
    </row>
    <row r="898" spans="3:3" ht="15.75" customHeight="1" x14ac:dyDescent="0.3">
      <c r="C898" s="2"/>
    </row>
    <row r="899" spans="3:3" ht="15.75" customHeight="1" x14ac:dyDescent="0.3">
      <c r="C899" s="2"/>
    </row>
    <row r="900" spans="3:3" ht="15.75" customHeight="1" x14ac:dyDescent="0.3">
      <c r="C900" s="2"/>
    </row>
    <row r="901" spans="3:3" ht="15.75" customHeight="1" x14ac:dyDescent="0.3">
      <c r="C901" s="2"/>
    </row>
    <row r="902" spans="3:3" ht="15.75" customHeight="1" x14ac:dyDescent="0.3">
      <c r="C902" s="2"/>
    </row>
    <row r="903" spans="3:3" ht="15.75" customHeight="1" x14ac:dyDescent="0.3">
      <c r="C903" s="2"/>
    </row>
    <row r="904" spans="3:3" ht="15.75" customHeight="1" x14ac:dyDescent="0.3">
      <c r="C904" s="2"/>
    </row>
    <row r="905" spans="3:3" ht="15.75" customHeight="1" x14ac:dyDescent="0.3">
      <c r="C905" s="2"/>
    </row>
    <row r="906" spans="3:3" ht="15.75" customHeight="1" x14ac:dyDescent="0.3">
      <c r="C906" s="2"/>
    </row>
    <row r="907" spans="3:3" ht="15.75" customHeight="1" x14ac:dyDescent="0.3">
      <c r="C907" s="2"/>
    </row>
    <row r="908" spans="3:3" ht="15.75" customHeight="1" x14ac:dyDescent="0.3">
      <c r="C908" s="2"/>
    </row>
    <row r="909" spans="3:3" ht="15.75" customHeight="1" x14ac:dyDescent="0.3">
      <c r="C909" s="2"/>
    </row>
    <row r="910" spans="3:3" ht="15.75" customHeight="1" x14ac:dyDescent="0.3">
      <c r="C910" s="2"/>
    </row>
    <row r="911" spans="3:3" ht="15.75" customHeight="1" x14ac:dyDescent="0.3">
      <c r="C911" s="2"/>
    </row>
    <row r="912" spans="3:3" ht="15.75" customHeight="1" x14ac:dyDescent="0.3">
      <c r="C912" s="2"/>
    </row>
    <row r="913" spans="3:3" ht="15.75" customHeight="1" x14ac:dyDescent="0.3">
      <c r="C913" s="2"/>
    </row>
    <row r="914" spans="3:3" ht="15.75" customHeight="1" x14ac:dyDescent="0.3">
      <c r="C914" s="2"/>
    </row>
    <row r="915" spans="3:3" ht="15.75" customHeight="1" x14ac:dyDescent="0.3">
      <c r="C915" s="2"/>
    </row>
    <row r="916" spans="3:3" ht="15.75" customHeight="1" x14ac:dyDescent="0.3">
      <c r="C916" s="2"/>
    </row>
    <row r="917" spans="3:3" ht="15.75" customHeight="1" x14ac:dyDescent="0.3">
      <c r="C917" s="2"/>
    </row>
    <row r="918" spans="3:3" ht="15.75" customHeight="1" x14ac:dyDescent="0.3">
      <c r="C918" s="2"/>
    </row>
    <row r="919" spans="3:3" ht="15.75" customHeight="1" x14ac:dyDescent="0.3">
      <c r="C919" s="2"/>
    </row>
    <row r="920" spans="3:3" ht="15.75" customHeight="1" x14ac:dyDescent="0.3">
      <c r="C920" s="2"/>
    </row>
    <row r="921" spans="3:3" ht="15.75" customHeight="1" x14ac:dyDescent="0.3">
      <c r="C921" s="2"/>
    </row>
    <row r="922" spans="3:3" ht="15.75" customHeight="1" x14ac:dyDescent="0.3">
      <c r="C922" s="2"/>
    </row>
    <row r="923" spans="3:3" ht="15.75" customHeight="1" x14ac:dyDescent="0.3">
      <c r="C923" s="2"/>
    </row>
    <row r="924" spans="3:3" ht="15.75" customHeight="1" x14ac:dyDescent="0.3">
      <c r="C924" s="2"/>
    </row>
    <row r="925" spans="3:3" ht="15.75" customHeight="1" x14ac:dyDescent="0.3">
      <c r="C925" s="2"/>
    </row>
    <row r="926" spans="3:3" ht="15.75" customHeight="1" x14ac:dyDescent="0.3">
      <c r="C926" s="2"/>
    </row>
    <row r="927" spans="3:3" ht="15.75" customHeight="1" x14ac:dyDescent="0.3">
      <c r="C927" s="2"/>
    </row>
    <row r="928" spans="3:3" ht="15.75" customHeight="1" x14ac:dyDescent="0.3">
      <c r="C928" s="2"/>
    </row>
    <row r="929" spans="3:3" ht="15.75" customHeight="1" x14ac:dyDescent="0.3">
      <c r="C929" s="2"/>
    </row>
    <row r="930" spans="3:3" ht="15.75" customHeight="1" x14ac:dyDescent="0.3">
      <c r="C930" s="2"/>
    </row>
    <row r="931" spans="3:3" ht="15.75" customHeight="1" x14ac:dyDescent="0.3">
      <c r="C931" s="2"/>
    </row>
    <row r="932" spans="3:3" ht="15.75" customHeight="1" x14ac:dyDescent="0.3">
      <c r="C932" s="2"/>
    </row>
    <row r="933" spans="3:3" ht="15.75" customHeight="1" x14ac:dyDescent="0.3">
      <c r="C933" s="2"/>
    </row>
    <row r="934" spans="3:3" ht="15.75" customHeight="1" x14ac:dyDescent="0.3">
      <c r="C934" s="2"/>
    </row>
    <row r="935" spans="3:3" ht="15.75" customHeight="1" x14ac:dyDescent="0.3">
      <c r="C935" s="2"/>
    </row>
    <row r="936" spans="3:3" ht="15.75" customHeight="1" x14ac:dyDescent="0.3">
      <c r="C936" s="2"/>
    </row>
    <row r="937" spans="3:3" ht="15.75" customHeight="1" x14ac:dyDescent="0.3">
      <c r="C937" s="2"/>
    </row>
    <row r="938" spans="3:3" ht="15.75" customHeight="1" x14ac:dyDescent="0.3">
      <c r="C938" s="2"/>
    </row>
    <row r="939" spans="3:3" ht="15.75" customHeight="1" x14ac:dyDescent="0.3">
      <c r="C939" s="2"/>
    </row>
    <row r="940" spans="3:3" ht="15.75" customHeight="1" x14ac:dyDescent="0.3">
      <c r="C940" s="2"/>
    </row>
    <row r="941" spans="3:3" ht="15.75" customHeight="1" x14ac:dyDescent="0.3">
      <c r="C941" s="2"/>
    </row>
    <row r="942" spans="3:3" ht="15.75" customHeight="1" x14ac:dyDescent="0.3">
      <c r="C942" s="2"/>
    </row>
    <row r="943" spans="3:3" ht="15.75" customHeight="1" x14ac:dyDescent="0.3">
      <c r="C943" s="2"/>
    </row>
    <row r="944" spans="3:3" ht="15.75" customHeight="1" x14ac:dyDescent="0.3">
      <c r="C944" s="2"/>
    </row>
    <row r="945" spans="3:3" ht="15.75" customHeight="1" x14ac:dyDescent="0.3">
      <c r="C945" s="2"/>
    </row>
    <row r="946" spans="3:3" ht="15.75" customHeight="1" x14ac:dyDescent="0.3">
      <c r="C946" s="2"/>
    </row>
    <row r="947" spans="3:3" ht="15.75" customHeight="1" x14ac:dyDescent="0.3">
      <c r="C947" s="2"/>
    </row>
    <row r="948" spans="3:3" ht="15.75" customHeight="1" x14ac:dyDescent="0.3">
      <c r="C948" s="2"/>
    </row>
    <row r="949" spans="3:3" ht="15.75" customHeight="1" x14ac:dyDescent="0.3">
      <c r="C949" s="2"/>
    </row>
    <row r="950" spans="3:3" ht="15.75" customHeight="1" x14ac:dyDescent="0.3">
      <c r="C950" s="2"/>
    </row>
    <row r="951" spans="3:3" ht="15.75" customHeight="1" x14ac:dyDescent="0.3">
      <c r="C951" s="2"/>
    </row>
    <row r="952" spans="3:3" ht="15.75" customHeight="1" x14ac:dyDescent="0.3">
      <c r="C952" s="2"/>
    </row>
    <row r="953" spans="3:3" ht="15.75" customHeight="1" x14ac:dyDescent="0.3">
      <c r="C953" s="2"/>
    </row>
    <row r="954" spans="3:3" ht="15.75" customHeight="1" x14ac:dyDescent="0.3">
      <c r="C954" s="2"/>
    </row>
    <row r="955" spans="3:3" ht="15.75" customHeight="1" x14ac:dyDescent="0.3">
      <c r="C955" s="2"/>
    </row>
    <row r="956" spans="3:3" ht="15.75" customHeight="1" x14ac:dyDescent="0.3">
      <c r="C956" s="2"/>
    </row>
    <row r="957" spans="3:3" ht="15.75" customHeight="1" x14ac:dyDescent="0.3">
      <c r="C957" s="2"/>
    </row>
    <row r="958" spans="3:3" ht="15.75" customHeight="1" x14ac:dyDescent="0.3">
      <c r="C958" s="2"/>
    </row>
    <row r="959" spans="3:3" ht="15.75" customHeight="1" x14ac:dyDescent="0.3">
      <c r="C959" s="2"/>
    </row>
    <row r="960" spans="3:3" ht="15.75" customHeight="1" x14ac:dyDescent="0.3">
      <c r="C960" s="2"/>
    </row>
    <row r="961" spans="3:3" ht="15.75" customHeight="1" x14ac:dyDescent="0.3">
      <c r="C961" s="2"/>
    </row>
    <row r="962" spans="3:3" ht="15.75" customHeight="1" x14ac:dyDescent="0.3">
      <c r="C962" s="2"/>
    </row>
    <row r="963" spans="3:3" ht="15.75" customHeight="1" x14ac:dyDescent="0.3">
      <c r="C963" s="2"/>
    </row>
    <row r="964" spans="3:3" ht="15.75" customHeight="1" x14ac:dyDescent="0.3">
      <c r="C964" s="2"/>
    </row>
    <row r="965" spans="3:3" ht="15.75" customHeight="1" x14ac:dyDescent="0.3">
      <c r="C965" s="2"/>
    </row>
    <row r="966" spans="3:3" ht="15.75" customHeight="1" x14ac:dyDescent="0.3">
      <c r="C966" s="2"/>
    </row>
    <row r="967" spans="3:3" ht="15.75" customHeight="1" x14ac:dyDescent="0.3">
      <c r="C967" s="2"/>
    </row>
    <row r="968" spans="3:3" ht="15.75" customHeight="1" x14ac:dyDescent="0.3">
      <c r="C968" s="2"/>
    </row>
    <row r="969" spans="3:3" ht="15.75" customHeight="1" x14ac:dyDescent="0.3">
      <c r="C969" s="2"/>
    </row>
    <row r="970" spans="3:3" ht="15.75" customHeight="1" x14ac:dyDescent="0.3">
      <c r="C970" s="2"/>
    </row>
    <row r="971" spans="3:3" ht="15.75" customHeight="1" x14ac:dyDescent="0.3">
      <c r="C971" s="2"/>
    </row>
    <row r="972" spans="3:3" ht="15.75" customHeight="1" x14ac:dyDescent="0.3">
      <c r="C972" s="2"/>
    </row>
    <row r="973" spans="3:3" ht="15.75" customHeight="1" x14ac:dyDescent="0.3">
      <c r="C973" s="2"/>
    </row>
    <row r="974" spans="3:3" ht="15.75" customHeight="1" x14ac:dyDescent="0.3">
      <c r="C974" s="2"/>
    </row>
    <row r="975" spans="3:3" ht="15.75" customHeight="1" x14ac:dyDescent="0.3">
      <c r="C975" s="2"/>
    </row>
    <row r="976" spans="3:3" ht="15.75" customHeight="1" x14ac:dyDescent="0.3">
      <c r="C976" s="2"/>
    </row>
    <row r="977" spans="3:3" ht="15.75" customHeight="1" x14ac:dyDescent="0.3">
      <c r="C977" s="2"/>
    </row>
    <row r="978" spans="3:3" ht="15.75" customHeight="1" x14ac:dyDescent="0.3">
      <c r="C978" s="2"/>
    </row>
    <row r="979" spans="3:3" ht="15.75" customHeight="1" x14ac:dyDescent="0.3">
      <c r="C979" s="2"/>
    </row>
    <row r="980" spans="3:3" ht="15.75" customHeight="1" x14ac:dyDescent="0.3">
      <c r="C980" s="2"/>
    </row>
    <row r="981" spans="3:3" ht="15.75" customHeight="1" x14ac:dyDescent="0.3">
      <c r="C981" s="2"/>
    </row>
    <row r="982" spans="3:3" ht="15.75" customHeight="1" x14ac:dyDescent="0.3">
      <c r="C982" s="2"/>
    </row>
    <row r="983" spans="3:3" ht="15.75" customHeight="1" x14ac:dyDescent="0.3">
      <c r="C983" s="2"/>
    </row>
    <row r="984" spans="3:3" ht="15.75" customHeight="1" x14ac:dyDescent="0.3">
      <c r="C984" s="2"/>
    </row>
    <row r="985" spans="3:3" ht="15.75" customHeight="1" x14ac:dyDescent="0.3">
      <c r="C985" s="2"/>
    </row>
    <row r="986" spans="3:3" ht="15.75" customHeight="1" x14ac:dyDescent="0.3">
      <c r="C986" s="2"/>
    </row>
    <row r="987" spans="3:3" ht="15.75" customHeight="1" x14ac:dyDescent="0.3">
      <c r="C987" s="2"/>
    </row>
    <row r="988" spans="3:3" ht="15.75" customHeight="1" x14ac:dyDescent="0.3">
      <c r="C988" s="2"/>
    </row>
    <row r="989" spans="3:3" ht="15.75" customHeight="1" x14ac:dyDescent="0.3">
      <c r="C989" s="2"/>
    </row>
    <row r="990" spans="3:3" ht="15.75" customHeight="1" x14ac:dyDescent="0.3">
      <c r="C990" s="2"/>
    </row>
    <row r="991" spans="3:3" ht="15.75" customHeight="1" x14ac:dyDescent="0.3">
      <c r="C991" s="2"/>
    </row>
    <row r="992" spans="3:3" ht="15.75" customHeight="1" x14ac:dyDescent="0.3">
      <c r="C992" s="2"/>
    </row>
    <row r="993" spans="3:3" ht="15.75" customHeight="1" x14ac:dyDescent="0.3">
      <c r="C993" s="2"/>
    </row>
    <row r="994" spans="3:3" ht="15.75" customHeight="1" x14ac:dyDescent="0.3">
      <c r="C994" s="2"/>
    </row>
    <row r="995" spans="3:3" ht="15.75" customHeight="1" x14ac:dyDescent="0.3">
      <c r="C995" s="2"/>
    </row>
    <row r="996" spans="3:3" ht="15.75" customHeight="1" x14ac:dyDescent="0.3">
      <c r="C996" s="2"/>
    </row>
    <row r="997" spans="3:3" ht="15.75" customHeight="1" x14ac:dyDescent="0.3">
      <c r="C997" s="2"/>
    </row>
    <row r="998" spans="3:3" ht="15.75" customHeight="1" x14ac:dyDescent="0.3">
      <c r="C998" s="2"/>
    </row>
    <row r="999" spans="3:3" ht="15.75" customHeight="1" x14ac:dyDescent="0.3">
      <c r="C999" s="2"/>
    </row>
    <row r="1000" spans="3:3" ht="15.75" customHeight="1" x14ac:dyDescent="0.3">
      <c r="C1000" s="2"/>
    </row>
  </sheetData>
  <mergeCells count="2">
    <mergeCell ref="I9:J10"/>
    <mergeCell ref="I11:J11"/>
  </mergeCells>
  <conditionalFormatting sqref="E7:G10">
    <cfRule type="cellIs" dxfId="3" priority="1" operator="lessThan">
      <formula>300000</formula>
    </cfRule>
  </conditionalFormatting>
  <conditionalFormatting sqref="E7:G10">
    <cfRule type="cellIs" dxfId="2" priority="2" operator="greaterThan">
      <formula>400000</formula>
    </cfRule>
  </conditionalFormatting>
  <pageMargins left="0.25" right="0.25" top="0.75" bottom="0.75" header="0" footer="0"/>
  <pageSetup paperSize="9" fitToHeight="0" orientation="portrait"/>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workbookViewId="0"/>
  </sheetViews>
  <sheetFormatPr baseColWidth="10" defaultColWidth="12.6640625" defaultRowHeight="15" customHeight="1" x14ac:dyDescent="0.3"/>
  <cols>
    <col min="1" max="1" width="64.109375" customWidth="1"/>
    <col min="2" max="2" width="5.21875" customWidth="1"/>
    <col min="3" max="3" width="20.109375" customWidth="1"/>
    <col min="4" max="4" width="15.77734375" customWidth="1"/>
    <col min="5" max="5" width="15.6640625" customWidth="1"/>
    <col min="6" max="6" width="17.77734375" customWidth="1"/>
    <col min="7" max="7" width="21.77734375" customWidth="1"/>
    <col min="8" max="26" width="10.6640625" customWidth="1"/>
  </cols>
  <sheetData>
    <row r="1" spans="1:26" ht="43.2" x14ac:dyDescent="0.3">
      <c r="C1" s="2" t="s">
        <v>1</v>
      </c>
      <c r="E1" s="2" t="s">
        <v>3</v>
      </c>
      <c r="F1" s="4" t="s">
        <v>18</v>
      </c>
      <c r="G1" s="4" t="s">
        <v>19</v>
      </c>
    </row>
    <row r="2" spans="1:26" ht="14.4" x14ac:dyDescent="0.3">
      <c r="A2" s="8" t="s">
        <v>20</v>
      </c>
      <c r="B2" s="8"/>
      <c r="C2" s="9">
        <f>C31+C53</f>
        <v>1002704.58</v>
      </c>
      <c r="D2" s="8"/>
      <c r="E2" s="2">
        <f>C2</f>
        <v>1002704.58</v>
      </c>
      <c r="F2" s="2">
        <f>C15+C53</f>
        <v>764204.58</v>
      </c>
      <c r="G2" s="2">
        <f>C15+C43+C46</f>
        <v>737754.58</v>
      </c>
      <c r="H2" s="8"/>
      <c r="I2" s="8"/>
      <c r="J2" s="8"/>
      <c r="K2" s="8"/>
      <c r="L2" s="8"/>
      <c r="M2" s="8"/>
      <c r="N2" s="8"/>
      <c r="O2" s="8"/>
      <c r="P2" s="8"/>
      <c r="Q2" s="8"/>
      <c r="R2" s="8"/>
      <c r="S2" s="8"/>
      <c r="T2" s="8"/>
      <c r="U2" s="8"/>
      <c r="V2" s="8"/>
      <c r="W2" s="8"/>
      <c r="X2" s="8"/>
      <c r="Y2" s="8"/>
      <c r="Z2" s="8"/>
    </row>
    <row r="3" spans="1:26" ht="14.4" x14ac:dyDescent="0.3">
      <c r="A3" s="8" t="s">
        <v>22</v>
      </c>
      <c r="B3" s="8"/>
      <c r="C3" s="9"/>
      <c r="D3" s="8"/>
      <c r="E3" s="2">
        <f>SUM(C72)</f>
        <v>399778</v>
      </c>
      <c r="F3" s="2">
        <f>SUM(C72)</f>
        <v>399778</v>
      </c>
      <c r="G3" s="2">
        <f>SUM(C72)</f>
        <v>399778</v>
      </c>
      <c r="H3" s="8"/>
      <c r="I3" s="8"/>
      <c r="J3" s="8"/>
      <c r="K3" s="8"/>
      <c r="L3" s="8"/>
      <c r="M3" s="8"/>
      <c r="N3" s="8"/>
      <c r="O3" s="8"/>
      <c r="P3" s="8"/>
      <c r="Q3" s="8"/>
      <c r="R3" s="8"/>
      <c r="S3" s="8"/>
      <c r="T3" s="8"/>
      <c r="U3" s="8"/>
      <c r="V3" s="8"/>
      <c r="W3" s="8"/>
      <c r="X3" s="8"/>
      <c r="Y3" s="8"/>
      <c r="Z3" s="8"/>
    </row>
    <row r="4" spans="1:26" ht="14.4" x14ac:dyDescent="0.3">
      <c r="A4" s="8" t="s">
        <v>24</v>
      </c>
      <c r="B4" s="8"/>
      <c r="C4" s="9"/>
      <c r="D4" s="8"/>
      <c r="E4" s="2">
        <f t="shared" ref="E4:G4" si="0">$D$72</f>
        <v>616878</v>
      </c>
      <c r="F4" s="2">
        <f t="shared" si="0"/>
        <v>616878</v>
      </c>
      <c r="G4" s="2">
        <f t="shared" si="0"/>
        <v>616878</v>
      </c>
      <c r="H4" s="8"/>
      <c r="I4" s="8"/>
      <c r="J4" s="8"/>
      <c r="K4" s="8"/>
      <c r="L4" s="8"/>
      <c r="M4" s="8"/>
      <c r="N4" s="8"/>
      <c r="O4" s="8"/>
      <c r="P4" s="8"/>
      <c r="Q4" s="8"/>
      <c r="R4" s="8"/>
      <c r="S4" s="8"/>
      <c r="T4" s="8"/>
      <c r="U4" s="8"/>
      <c r="V4" s="8"/>
      <c r="W4" s="8"/>
      <c r="X4" s="8"/>
      <c r="Y4" s="8"/>
      <c r="Z4" s="8"/>
    </row>
    <row r="5" spans="1:26" ht="14.4" x14ac:dyDescent="0.3">
      <c r="C5" s="2"/>
    </row>
    <row r="6" spans="1:26" ht="14.4" x14ac:dyDescent="0.3">
      <c r="C6" s="2"/>
    </row>
    <row r="7" spans="1:26" ht="14.4" x14ac:dyDescent="0.3">
      <c r="A7" s="8" t="s">
        <v>26</v>
      </c>
      <c r="C7" s="9"/>
      <c r="E7" s="9">
        <f>$E$2-$E$3</f>
        <v>602926.57999999996</v>
      </c>
      <c r="F7" s="9">
        <f>$F$2-$F$3</f>
        <v>364426.57999999996</v>
      </c>
      <c r="G7" s="9">
        <f>$G$2-$G$3</f>
        <v>337976.57999999996</v>
      </c>
    </row>
    <row r="8" spans="1:26" ht="14.4" x14ac:dyDescent="0.3">
      <c r="A8" s="8" t="s">
        <v>110</v>
      </c>
      <c r="C8" s="9"/>
      <c r="E8" s="9">
        <f>$E$2-$E$4</f>
        <v>385826.57999999996</v>
      </c>
      <c r="F8" s="9">
        <f>$F$2-$F$4</f>
        <v>147326.57999999996</v>
      </c>
      <c r="G8" s="9">
        <f>$G$2-$G$4</f>
        <v>120876.57999999996</v>
      </c>
    </row>
    <row r="9" spans="1:26" ht="14.4" x14ac:dyDescent="0.3">
      <c r="A9" s="8" t="s">
        <v>29</v>
      </c>
      <c r="C9" s="9"/>
      <c r="E9" s="19">
        <f t="shared" ref="E9:G9" si="1">E7*0.2+E7</f>
        <v>723511.89599999995</v>
      </c>
      <c r="F9" s="20">
        <f t="shared" si="1"/>
        <v>437311.89599999995</v>
      </c>
      <c r="G9" s="23">
        <f t="shared" si="1"/>
        <v>405571.89599999995</v>
      </c>
      <c r="I9" s="113" t="s">
        <v>32</v>
      </c>
      <c r="J9" s="106"/>
    </row>
    <row r="10" spans="1:26" ht="14.4" x14ac:dyDescent="0.3">
      <c r="A10" s="8" t="s">
        <v>118</v>
      </c>
      <c r="C10" s="9"/>
      <c r="E10" s="19">
        <f t="shared" ref="E10:G10" si="2">E8*0.2+E8</f>
        <v>462991.89599999995</v>
      </c>
      <c r="F10" s="23">
        <f t="shared" si="2"/>
        <v>176791.89599999995</v>
      </c>
      <c r="G10" s="31">
        <f t="shared" si="2"/>
        <v>145051.89599999995</v>
      </c>
      <c r="I10" s="114"/>
      <c r="J10" s="108"/>
    </row>
    <row r="11" spans="1:26" ht="29.25" customHeight="1" x14ac:dyDescent="0.3">
      <c r="A11" s="8" t="s">
        <v>37</v>
      </c>
      <c r="C11" s="9"/>
      <c r="E11" s="34">
        <f t="shared" ref="E11:G11" si="3">E10+30000</f>
        <v>492991.89599999995</v>
      </c>
      <c r="F11" s="34">
        <f t="shared" si="3"/>
        <v>206791.89599999995</v>
      </c>
      <c r="G11" s="34">
        <f t="shared" si="3"/>
        <v>175051.89599999995</v>
      </c>
      <c r="I11" s="115" t="s">
        <v>51</v>
      </c>
      <c r="J11" s="110"/>
    </row>
    <row r="12" spans="1:26" ht="14.4" x14ac:dyDescent="0.3">
      <c r="A12" s="40" t="s">
        <v>68</v>
      </c>
      <c r="B12" s="44"/>
      <c r="C12" s="46"/>
      <c r="D12" s="44"/>
      <c r="E12" s="44"/>
      <c r="F12" s="44"/>
      <c r="G12" s="44"/>
      <c r="H12" s="44"/>
      <c r="I12" s="44"/>
      <c r="J12" s="44"/>
      <c r="K12" s="44"/>
      <c r="L12" s="44"/>
      <c r="M12" s="44"/>
      <c r="N12" s="44"/>
      <c r="O12" s="44"/>
      <c r="P12" s="44"/>
      <c r="Q12" s="44"/>
      <c r="R12" s="44"/>
      <c r="S12" s="44"/>
      <c r="T12" s="44"/>
      <c r="U12" s="44"/>
      <c r="V12" s="44"/>
      <c r="W12" s="44"/>
      <c r="X12" s="44"/>
      <c r="Y12" s="44"/>
      <c r="Z12" s="44"/>
    </row>
    <row r="13" spans="1:26" ht="14.4" hidden="1" x14ac:dyDescent="0.3">
      <c r="A13" s="49" t="s">
        <v>80</v>
      </c>
      <c r="B13" s="50"/>
      <c r="C13" s="51">
        <f>635000</f>
        <v>635000</v>
      </c>
      <c r="E13" s="3" t="s">
        <v>81</v>
      </c>
      <c r="F13" s="3" t="s">
        <v>81</v>
      </c>
      <c r="G13" s="3" t="s">
        <v>81</v>
      </c>
    </row>
    <row r="14" spans="1:26" ht="14.4" hidden="1" x14ac:dyDescent="0.3">
      <c r="A14" s="52"/>
      <c r="B14" s="3" t="s">
        <v>82</v>
      </c>
      <c r="C14" s="2">
        <f>B15*C13</f>
        <v>0</v>
      </c>
    </row>
    <row r="15" spans="1:26" ht="14.4" x14ac:dyDescent="0.3">
      <c r="A15" s="49" t="s">
        <v>83</v>
      </c>
      <c r="B15" s="55"/>
      <c r="C15" s="51">
        <v>706500</v>
      </c>
      <c r="E15" s="2"/>
      <c r="F15" s="2"/>
      <c r="G15" s="2"/>
      <c r="H15" s="2"/>
    </row>
    <row r="16" spans="1:26" ht="14.4" x14ac:dyDescent="0.3">
      <c r="A16" s="49" t="s">
        <v>84</v>
      </c>
      <c r="B16" s="55"/>
      <c r="C16" s="51">
        <f>C15+50000</f>
        <v>756500</v>
      </c>
      <c r="D16" s="2"/>
      <c r="E16" s="2"/>
      <c r="F16" s="2"/>
      <c r="G16" s="2"/>
      <c r="H16" s="2"/>
    </row>
    <row r="17" spans="1:26" ht="15" customHeight="1" x14ac:dyDescent="0.3">
      <c r="A17" s="12"/>
      <c r="B17" s="56"/>
      <c r="C17" s="9"/>
      <c r="D17" s="2"/>
      <c r="E17" s="2"/>
      <c r="F17" s="2"/>
      <c r="G17" s="2"/>
      <c r="H17" s="2"/>
    </row>
    <row r="18" spans="1:26" ht="14.4" x14ac:dyDescent="0.3">
      <c r="A18" s="52" t="s">
        <v>85</v>
      </c>
      <c r="B18" s="57"/>
      <c r="C18" s="58"/>
    </row>
    <row r="19" spans="1:26" ht="28.8" x14ac:dyDescent="0.3">
      <c r="A19" s="59" t="s">
        <v>86</v>
      </c>
      <c r="C19" s="13">
        <v>60000</v>
      </c>
      <c r="E19" s="3" t="s">
        <v>81</v>
      </c>
      <c r="G19" s="60">
        <v>188700</v>
      </c>
    </row>
    <row r="20" spans="1:26" ht="14.4" x14ac:dyDescent="0.3">
      <c r="A20" s="59" t="s">
        <v>87</v>
      </c>
      <c r="C20" s="13">
        <v>54000</v>
      </c>
      <c r="E20" s="3" t="s">
        <v>81</v>
      </c>
      <c r="G20" s="60">
        <f>G19+30000+30000</f>
        <v>248700</v>
      </c>
    </row>
    <row r="21" spans="1:26" ht="15.75" customHeight="1" x14ac:dyDescent="0.3">
      <c r="A21" s="59" t="s">
        <v>70</v>
      </c>
      <c r="C21" s="13">
        <v>9000</v>
      </c>
      <c r="E21" s="3" t="s">
        <v>81</v>
      </c>
      <c r="G21" s="60">
        <f>0.5*G20</f>
        <v>124350</v>
      </c>
    </row>
    <row r="22" spans="1:26" ht="15.75" customHeight="1" x14ac:dyDescent="0.3">
      <c r="A22" s="59" t="s">
        <v>88</v>
      </c>
      <c r="C22" s="13">
        <v>18700</v>
      </c>
      <c r="E22" s="3" t="s">
        <v>81</v>
      </c>
    </row>
    <row r="23" spans="1:26" ht="15.75" customHeight="1" x14ac:dyDescent="0.3">
      <c r="A23" s="59" t="s">
        <v>89</v>
      </c>
      <c r="C23" s="13">
        <v>40000</v>
      </c>
      <c r="E23" s="3" t="s">
        <v>81</v>
      </c>
    </row>
    <row r="24" spans="1:26" ht="15.75" customHeight="1" x14ac:dyDescent="0.3">
      <c r="A24" s="59" t="s">
        <v>90</v>
      </c>
      <c r="C24" s="13">
        <v>8000</v>
      </c>
      <c r="E24" s="3" t="s">
        <v>81</v>
      </c>
    </row>
    <row r="25" spans="1:26" ht="15.75" customHeight="1" x14ac:dyDescent="0.3">
      <c r="A25" s="59" t="s">
        <v>91</v>
      </c>
      <c r="C25" s="13">
        <v>100000</v>
      </c>
      <c r="E25" s="3" t="s">
        <v>81</v>
      </c>
    </row>
    <row r="26" spans="1:26" ht="15.75" customHeight="1" x14ac:dyDescent="0.3">
      <c r="A26" s="59" t="s">
        <v>72</v>
      </c>
      <c r="C26" s="13">
        <v>12100</v>
      </c>
      <c r="E26" s="3" t="s">
        <v>81</v>
      </c>
    </row>
    <row r="27" spans="1:26" ht="15.75" customHeight="1" x14ac:dyDescent="0.3">
      <c r="A27" s="59" t="s">
        <v>73</v>
      </c>
      <c r="C27" s="13">
        <v>5500</v>
      </c>
      <c r="E27" s="3" t="s">
        <v>81</v>
      </c>
    </row>
    <row r="28" spans="1:26" ht="15.75" customHeight="1" x14ac:dyDescent="0.3">
      <c r="A28" s="59" t="s">
        <v>74</v>
      </c>
      <c r="C28" s="13">
        <v>2700</v>
      </c>
      <c r="E28" s="3" t="s">
        <v>81</v>
      </c>
    </row>
    <row r="29" spans="1:26" ht="15.75" customHeight="1" x14ac:dyDescent="0.3">
      <c r="A29" s="62" t="s">
        <v>92</v>
      </c>
      <c r="B29" s="63"/>
      <c r="C29" s="64">
        <f>SUM(C19:C28)</f>
        <v>310000</v>
      </c>
    </row>
    <row r="30" spans="1:26" ht="15.75" customHeight="1" x14ac:dyDescent="0.3">
      <c r="A30" s="65"/>
      <c r="C30" s="2"/>
    </row>
    <row r="31" spans="1:26" ht="15.75" customHeight="1" x14ac:dyDescent="0.3">
      <c r="A31" s="66" t="s">
        <v>93</v>
      </c>
      <c r="B31" s="8"/>
      <c r="C31" s="67">
        <f>C13+C29</f>
        <v>945000</v>
      </c>
    </row>
    <row r="32" spans="1:26" ht="15.75" customHeight="1" x14ac:dyDescent="0.3">
      <c r="A32" s="68" t="s">
        <v>94</v>
      </c>
      <c r="B32" s="44"/>
      <c r="C32" s="46"/>
      <c r="D32" s="44"/>
      <c r="E32" s="44"/>
      <c r="F32" s="44"/>
      <c r="G32" s="44"/>
      <c r="H32" s="44"/>
      <c r="I32" s="44"/>
      <c r="J32" s="44"/>
      <c r="K32" s="44"/>
      <c r="L32" s="44"/>
      <c r="M32" s="44"/>
      <c r="N32" s="44"/>
      <c r="O32" s="44"/>
      <c r="P32" s="44"/>
      <c r="Q32" s="44"/>
      <c r="R32" s="44"/>
      <c r="S32" s="44"/>
      <c r="T32" s="44"/>
      <c r="U32" s="44"/>
      <c r="V32" s="44"/>
      <c r="W32" s="44"/>
      <c r="X32" s="44"/>
      <c r="Y32" s="44"/>
      <c r="Z32" s="44"/>
    </row>
    <row r="33" spans="1:7" ht="15.75" customHeight="1" x14ac:dyDescent="0.3">
      <c r="C33" s="2"/>
      <c r="D33" s="3" t="s">
        <v>95</v>
      </c>
    </row>
    <row r="34" spans="1:7" ht="15.75" customHeight="1" x14ac:dyDescent="0.3">
      <c r="A34" s="69" t="s">
        <v>96</v>
      </c>
      <c r="B34" s="57"/>
      <c r="C34" s="58">
        <v>27100</v>
      </c>
    </row>
    <row r="35" spans="1:7" ht="15.75" customHeight="1" x14ac:dyDescent="0.3">
      <c r="A35" s="70" t="s">
        <v>25</v>
      </c>
      <c r="B35" s="71"/>
      <c r="C35" s="72">
        <v>70000</v>
      </c>
    </row>
    <row r="36" spans="1:7" ht="15.75" customHeight="1" x14ac:dyDescent="0.3">
      <c r="A36" s="22" t="s">
        <v>39</v>
      </c>
      <c r="C36" s="13">
        <v>3510</v>
      </c>
    </row>
    <row r="37" spans="1:7" ht="15.75" customHeight="1" x14ac:dyDescent="0.3">
      <c r="A37" s="69" t="s">
        <v>41</v>
      </c>
      <c r="B37" s="57"/>
      <c r="C37" s="58">
        <v>5970</v>
      </c>
      <c r="D37" s="22"/>
      <c r="E37" s="3" t="s">
        <v>81</v>
      </c>
      <c r="F37" s="3" t="s">
        <v>81</v>
      </c>
      <c r="G37" s="3" t="s">
        <v>81</v>
      </c>
    </row>
    <row r="38" spans="1:7" ht="15.75" customHeight="1" x14ac:dyDescent="0.3">
      <c r="A38" s="22" t="s">
        <v>76</v>
      </c>
      <c r="C38" s="75">
        <v>11900</v>
      </c>
      <c r="D38" s="77">
        <v>6850</v>
      </c>
      <c r="E38" s="3" t="s">
        <v>81</v>
      </c>
      <c r="F38" s="3" t="s">
        <v>81</v>
      </c>
      <c r="G38" s="3" t="s">
        <v>81</v>
      </c>
    </row>
    <row r="39" spans="1:7" ht="15.75" customHeight="1" x14ac:dyDescent="0.3">
      <c r="A39" s="22" t="s">
        <v>78</v>
      </c>
      <c r="C39" s="79">
        <v>4207.5</v>
      </c>
      <c r="D39" s="77">
        <v>4207.5</v>
      </c>
      <c r="E39" s="3" t="s">
        <v>81</v>
      </c>
      <c r="F39" s="3" t="s">
        <v>81</v>
      </c>
      <c r="G39" s="3" t="s">
        <v>81</v>
      </c>
    </row>
    <row r="40" spans="1:7" ht="15.75" customHeight="1" x14ac:dyDescent="0.3">
      <c r="A40" s="22" t="s">
        <v>103</v>
      </c>
      <c r="C40" s="75">
        <v>2752</v>
      </c>
      <c r="D40" s="22"/>
      <c r="E40" s="3" t="s">
        <v>81</v>
      </c>
      <c r="F40" s="3" t="s">
        <v>81</v>
      </c>
      <c r="G40" s="3" t="s">
        <v>81</v>
      </c>
    </row>
    <row r="41" spans="1:7" ht="15.75" customHeight="1" x14ac:dyDescent="0.3">
      <c r="A41" s="22" t="s">
        <v>46</v>
      </c>
      <c r="C41" s="13">
        <v>3265.08</v>
      </c>
      <c r="D41" s="22"/>
      <c r="E41" s="3" t="s">
        <v>81</v>
      </c>
      <c r="F41" s="3" t="s">
        <v>81</v>
      </c>
      <c r="G41" s="3" t="s">
        <v>81</v>
      </c>
    </row>
    <row r="42" spans="1:7" ht="15.75" customHeight="1" x14ac:dyDescent="0.3">
      <c r="A42" s="22" t="s">
        <v>48</v>
      </c>
      <c r="C42" s="13">
        <v>600</v>
      </c>
      <c r="D42" s="22"/>
      <c r="E42" s="3" t="s">
        <v>81</v>
      </c>
      <c r="F42" s="3" t="s">
        <v>81</v>
      </c>
      <c r="G42" s="3" t="s">
        <v>81</v>
      </c>
    </row>
    <row r="43" spans="1:7" ht="15.75" customHeight="1" x14ac:dyDescent="0.3">
      <c r="A43" s="78" t="s">
        <v>98</v>
      </c>
      <c r="B43" s="63"/>
      <c r="C43" s="64">
        <f>SUM(C37:C42)</f>
        <v>28694.58</v>
      </c>
      <c r="D43" s="22"/>
    </row>
    <row r="44" spans="1:7" ht="15.75" customHeight="1" x14ac:dyDescent="0.3">
      <c r="C44" s="2"/>
    </row>
    <row r="45" spans="1:7" ht="15.75" customHeight="1" x14ac:dyDescent="0.3">
      <c r="A45" s="52" t="s">
        <v>100</v>
      </c>
      <c r="B45" s="57"/>
      <c r="C45" s="58"/>
    </row>
    <row r="46" spans="1:7" ht="15.75" customHeight="1" x14ac:dyDescent="0.3">
      <c r="A46" s="22" t="s">
        <v>101</v>
      </c>
      <c r="C46" s="13">
        <v>2560</v>
      </c>
      <c r="E46" s="3" t="s">
        <v>81</v>
      </c>
      <c r="F46" s="3" t="s">
        <v>81</v>
      </c>
      <c r="G46" s="3" t="s">
        <v>81</v>
      </c>
    </row>
    <row r="47" spans="1:7" ht="45" customHeight="1" x14ac:dyDescent="0.3">
      <c r="A47" s="59" t="s">
        <v>102</v>
      </c>
      <c r="C47" s="13">
        <v>3500</v>
      </c>
      <c r="E47" s="3" t="s">
        <v>81</v>
      </c>
      <c r="F47" s="3" t="s">
        <v>81</v>
      </c>
    </row>
    <row r="48" spans="1:7" ht="75.75" customHeight="1" x14ac:dyDescent="0.3">
      <c r="A48" s="59" t="s">
        <v>104</v>
      </c>
      <c r="C48" s="13">
        <v>2250</v>
      </c>
      <c r="E48" s="3" t="s">
        <v>81</v>
      </c>
      <c r="F48" s="3" t="s">
        <v>81</v>
      </c>
    </row>
    <row r="49" spans="1:26" ht="15.75" customHeight="1" x14ac:dyDescent="0.3">
      <c r="A49" s="59" t="s">
        <v>105</v>
      </c>
      <c r="C49" s="13">
        <v>1500</v>
      </c>
      <c r="E49" s="3" t="s">
        <v>81</v>
      </c>
      <c r="F49" s="3" t="s">
        <v>81</v>
      </c>
    </row>
    <row r="50" spans="1:26" ht="15.75" customHeight="1" x14ac:dyDescent="0.3">
      <c r="A50" s="22" t="s">
        <v>49</v>
      </c>
      <c r="C50" s="13">
        <v>15400</v>
      </c>
      <c r="E50" s="3" t="s">
        <v>81</v>
      </c>
      <c r="F50" s="3" t="s">
        <v>81</v>
      </c>
    </row>
    <row r="51" spans="1:26" ht="15.75" customHeight="1" x14ac:dyDescent="0.3">
      <c r="A51" s="22" t="s">
        <v>99</v>
      </c>
      <c r="C51" s="13">
        <v>3800</v>
      </c>
      <c r="E51" s="3" t="s">
        <v>81</v>
      </c>
      <c r="F51" s="3" t="s">
        <v>81</v>
      </c>
    </row>
    <row r="52" spans="1:26" ht="15.75" customHeight="1" x14ac:dyDescent="0.3">
      <c r="A52" s="62" t="s">
        <v>106</v>
      </c>
      <c r="B52" s="63"/>
      <c r="C52" s="64">
        <f>SUM(C46:C51)</f>
        <v>29010</v>
      </c>
    </row>
    <row r="53" spans="1:26" ht="15.75" customHeight="1" x14ac:dyDescent="0.3">
      <c r="A53" s="8" t="s">
        <v>20</v>
      </c>
      <c r="B53" s="8"/>
      <c r="C53" s="67">
        <f>C43+C52</f>
        <v>57704.58</v>
      </c>
    </row>
    <row r="54" spans="1:26" ht="15.75" customHeight="1" x14ac:dyDescent="0.3">
      <c r="C54" s="2"/>
    </row>
    <row r="55" spans="1:26" ht="15.75" customHeight="1" x14ac:dyDescent="0.3">
      <c r="A55" s="40" t="s">
        <v>116</v>
      </c>
      <c r="B55" s="44"/>
      <c r="C55" s="46"/>
      <c r="D55" s="44"/>
      <c r="E55" s="44"/>
      <c r="F55" s="44"/>
      <c r="G55" s="44"/>
      <c r="H55" s="44"/>
      <c r="I55" s="44"/>
      <c r="J55" s="44"/>
      <c r="K55" s="44"/>
      <c r="L55" s="44"/>
      <c r="M55" s="44"/>
      <c r="N55" s="44"/>
      <c r="O55" s="44"/>
      <c r="P55" s="44"/>
      <c r="Q55" s="44"/>
      <c r="R55" s="44"/>
      <c r="S55" s="44"/>
      <c r="T55" s="44"/>
      <c r="U55" s="44"/>
      <c r="V55" s="44"/>
      <c r="W55" s="44"/>
      <c r="X55" s="44"/>
      <c r="Y55" s="44"/>
      <c r="Z55" s="44"/>
    </row>
    <row r="56" spans="1:26" ht="15.75" customHeight="1" x14ac:dyDescent="0.3">
      <c r="B56" s="3" t="s">
        <v>156</v>
      </c>
      <c r="C56" s="2" t="s">
        <v>109</v>
      </c>
      <c r="D56" s="3" t="s">
        <v>157</v>
      </c>
      <c r="G56" s="8" t="s">
        <v>112</v>
      </c>
    </row>
    <row r="57" spans="1:26" ht="15.75" customHeight="1" x14ac:dyDescent="0.3">
      <c r="A57" s="3" t="s">
        <v>113</v>
      </c>
      <c r="B57" s="3">
        <v>100</v>
      </c>
      <c r="C57" s="2">
        <v>99405</v>
      </c>
      <c r="D57" s="2">
        <v>99405</v>
      </c>
      <c r="E57" s="2"/>
    </row>
    <row r="58" spans="1:26" ht="15.75" customHeight="1" x14ac:dyDescent="0.3">
      <c r="A58" s="3" t="s">
        <v>114</v>
      </c>
      <c r="B58" s="3">
        <v>100</v>
      </c>
      <c r="C58" s="2">
        <v>60450</v>
      </c>
      <c r="D58" s="2">
        <v>60450</v>
      </c>
      <c r="E58" s="2"/>
      <c r="G58" s="83" t="s">
        <v>115</v>
      </c>
    </row>
    <row r="59" spans="1:26" ht="15.75" customHeight="1" x14ac:dyDescent="0.3">
      <c r="A59" s="3" t="s">
        <v>117</v>
      </c>
      <c r="B59" s="3">
        <v>80</v>
      </c>
      <c r="C59" s="2">
        <f>0.2*C13</f>
        <v>127000</v>
      </c>
      <c r="D59" s="2">
        <f>0.4*C15</f>
        <v>282600</v>
      </c>
      <c r="E59" s="2"/>
      <c r="F59" s="3" t="s">
        <v>119</v>
      </c>
      <c r="G59" s="83" t="s">
        <v>120</v>
      </c>
    </row>
    <row r="60" spans="1:26" ht="15.75" customHeight="1" x14ac:dyDescent="0.3">
      <c r="A60" s="3" t="s">
        <v>121</v>
      </c>
      <c r="C60" s="2"/>
      <c r="G60" s="83" t="s">
        <v>122</v>
      </c>
    </row>
    <row r="61" spans="1:26" ht="15.75" customHeight="1" x14ac:dyDescent="0.3">
      <c r="A61" s="3" t="s">
        <v>123</v>
      </c>
      <c r="C61" s="2">
        <f t="shared" ref="C61:D61" si="4">0.8*$C$36+0.65*$C$34</f>
        <v>20423</v>
      </c>
      <c r="D61" s="2">
        <f t="shared" si="4"/>
        <v>20423</v>
      </c>
      <c r="F61" s="3" t="s">
        <v>119</v>
      </c>
      <c r="G61" s="83"/>
    </row>
    <row r="62" spans="1:26" ht="15.75" customHeight="1" x14ac:dyDescent="0.3">
      <c r="A62" s="3" t="s">
        <v>125</v>
      </c>
      <c r="B62" s="3">
        <v>50</v>
      </c>
      <c r="C62" s="2"/>
      <c r="G62" s="83" t="s">
        <v>122</v>
      </c>
    </row>
    <row r="63" spans="1:26" ht="15.75" customHeight="1" x14ac:dyDescent="0.3">
      <c r="A63" s="3" t="s">
        <v>49</v>
      </c>
      <c r="B63" s="3">
        <v>100</v>
      </c>
      <c r="C63" s="2">
        <v>25000</v>
      </c>
      <c r="D63" s="2">
        <v>25000</v>
      </c>
      <c r="E63" s="2"/>
      <c r="G63" s="83"/>
    </row>
    <row r="64" spans="1:26" ht="15.75" customHeight="1" x14ac:dyDescent="0.3">
      <c r="A64" s="3" t="s">
        <v>127</v>
      </c>
      <c r="B64" s="3">
        <v>50</v>
      </c>
      <c r="C64" s="2">
        <f>0.5*125000</f>
        <v>62500</v>
      </c>
      <c r="D64" s="34">
        <v>124000</v>
      </c>
      <c r="F64" s="3" t="s">
        <v>119</v>
      </c>
      <c r="G64" s="83" t="s">
        <v>128</v>
      </c>
    </row>
    <row r="65" spans="1:6" ht="15.75" customHeight="1" x14ac:dyDescent="0.3">
      <c r="A65" s="3" t="s">
        <v>129</v>
      </c>
      <c r="C65" s="2" t="s">
        <v>158</v>
      </c>
      <c r="D65" s="3" t="s">
        <v>158</v>
      </c>
    </row>
    <row r="66" spans="1:6" ht="15.75" customHeight="1" x14ac:dyDescent="0.3">
      <c r="A66" s="3" t="s">
        <v>132</v>
      </c>
      <c r="B66" s="3">
        <v>30</v>
      </c>
      <c r="C66" s="2">
        <v>5000</v>
      </c>
      <c r="D66" s="2">
        <v>5000</v>
      </c>
      <c r="E66" s="2"/>
      <c r="F66" s="3" t="s">
        <v>133</v>
      </c>
    </row>
    <row r="67" spans="1:6" ht="15.75" customHeight="1" x14ac:dyDescent="0.3">
      <c r="A67" s="3" t="s">
        <v>136</v>
      </c>
      <c r="C67" s="2"/>
      <c r="D67" s="2"/>
      <c r="E67" s="2"/>
      <c r="F67" s="2"/>
    </row>
    <row r="68" spans="1:6" ht="15.75" customHeight="1" x14ac:dyDescent="0.3">
      <c r="A68" s="85" t="s">
        <v>138</v>
      </c>
      <c r="C68" s="2"/>
      <c r="D68" s="34"/>
    </row>
    <row r="69" spans="1:6" ht="15.75" customHeight="1" x14ac:dyDescent="0.3">
      <c r="A69" s="85" t="s">
        <v>140</v>
      </c>
      <c r="C69" s="2"/>
    </row>
    <row r="70" spans="1:6" ht="15.75" customHeight="1" x14ac:dyDescent="0.3">
      <c r="A70" s="85" t="s">
        <v>141</v>
      </c>
      <c r="B70" s="8"/>
      <c r="C70" s="9"/>
      <c r="D70" s="8"/>
    </row>
    <row r="71" spans="1:6" ht="15.75" customHeight="1" x14ac:dyDescent="0.3">
      <c r="A71" s="85" t="s">
        <v>144</v>
      </c>
      <c r="C71" s="2"/>
    </row>
    <row r="72" spans="1:6" ht="15.75" customHeight="1" x14ac:dyDescent="0.3">
      <c r="A72" s="86" t="s">
        <v>143</v>
      </c>
      <c r="B72" s="87"/>
      <c r="C72" s="89">
        <f t="shared" ref="C72:D72" si="5">SUM(C57:C71)</f>
        <v>399778</v>
      </c>
      <c r="D72" s="90">
        <f t="shared" si="5"/>
        <v>616878</v>
      </c>
      <c r="E72" s="2"/>
    </row>
    <row r="73" spans="1:6" ht="15.75" customHeight="1" x14ac:dyDescent="0.3">
      <c r="C73" s="2"/>
    </row>
    <row r="74" spans="1:6" ht="15.75" customHeight="1" x14ac:dyDescent="0.3">
      <c r="A74" s="3" t="s">
        <v>153</v>
      </c>
      <c r="C74" s="2"/>
      <c r="D74" s="9">
        <f>0.8*C15</f>
        <v>565200</v>
      </c>
    </row>
    <row r="75" spans="1:6" ht="15.75" customHeight="1" x14ac:dyDescent="0.3">
      <c r="C75" s="2"/>
    </row>
    <row r="76" spans="1:6" ht="15.75" customHeight="1" x14ac:dyDescent="0.3">
      <c r="C76" s="2"/>
      <c r="F76" s="3" t="s">
        <v>152</v>
      </c>
    </row>
    <row r="77" spans="1:6" ht="15.75" customHeight="1" x14ac:dyDescent="0.3">
      <c r="C77" s="2"/>
    </row>
    <row r="78" spans="1:6" ht="15.75" hidden="1" customHeight="1" x14ac:dyDescent="0.3">
      <c r="A78" s="3" t="s">
        <v>154</v>
      </c>
      <c r="C78" s="2"/>
    </row>
    <row r="79" spans="1:6" ht="15.75" hidden="1" customHeight="1" x14ac:dyDescent="0.3">
      <c r="C79" s="2"/>
    </row>
    <row r="80" spans="1:6" ht="15.75" hidden="1" customHeight="1" x14ac:dyDescent="0.3">
      <c r="A80" s="3" t="s">
        <v>155</v>
      </c>
      <c r="C80" s="2">
        <v>8000</v>
      </c>
    </row>
    <row r="81" spans="3:3" ht="15.75" hidden="1" customHeight="1" x14ac:dyDescent="0.3">
      <c r="C81" s="2">
        <f>0.5*(C46+C47+C48+C49+C50+C51)</f>
        <v>14505</v>
      </c>
    </row>
    <row r="82" spans="3:3" ht="15.75" customHeight="1" x14ac:dyDescent="0.3">
      <c r="C82" s="2"/>
    </row>
    <row r="83" spans="3:3" ht="15.75" customHeight="1" x14ac:dyDescent="0.3">
      <c r="C83" s="2"/>
    </row>
    <row r="84" spans="3:3" ht="15.75" customHeight="1" x14ac:dyDescent="0.3">
      <c r="C84" s="2"/>
    </row>
    <row r="85" spans="3:3" ht="15.75" customHeight="1" x14ac:dyDescent="0.3">
      <c r="C85" s="2"/>
    </row>
    <row r="86" spans="3:3" ht="15.75" customHeight="1" x14ac:dyDescent="0.3">
      <c r="C86" s="2"/>
    </row>
    <row r="87" spans="3:3" ht="15.75" customHeight="1" x14ac:dyDescent="0.3">
      <c r="C87" s="2"/>
    </row>
    <row r="88" spans="3:3" ht="15.75" customHeight="1" x14ac:dyDescent="0.3">
      <c r="C88" s="2"/>
    </row>
    <row r="89" spans="3:3" ht="15.75" customHeight="1" x14ac:dyDescent="0.3">
      <c r="C89" s="2"/>
    </row>
    <row r="90" spans="3:3" ht="15.75" customHeight="1" x14ac:dyDescent="0.3">
      <c r="C90" s="2"/>
    </row>
    <row r="91" spans="3:3" ht="15.75" customHeight="1" x14ac:dyDescent="0.3">
      <c r="C91" s="2"/>
    </row>
    <row r="92" spans="3:3" ht="15.75" customHeight="1" x14ac:dyDescent="0.3">
      <c r="C92" s="2"/>
    </row>
    <row r="93" spans="3:3" ht="15.75" customHeight="1" x14ac:dyDescent="0.3">
      <c r="C93" s="2"/>
    </row>
    <row r="94" spans="3:3" ht="15.75" customHeight="1" x14ac:dyDescent="0.3">
      <c r="C94" s="2"/>
    </row>
    <row r="95" spans="3:3" ht="15.75" customHeight="1" x14ac:dyDescent="0.3">
      <c r="C95" s="2"/>
    </row>
    <row r="96" spans="3:3" ht="15.75" customHeight="1" x14ac:dyDescent="0.3">
      <c r="C96" s="2"/>
    </row>
    <row r="97" spans="3:3" ht="15.75" customHeight="1" x14ac:dyDescent="0.3">
      <c r="C97" s="2"/>
    </row>
    <row r="98" spans="3:3" ht="15.75" customHeight="1" x14ac:dyDescent="0.3">
      <c r="C98" s="2"/>
    </row>
    <row r="99" spans="3:3" ht="15.75" customHeight="1" x14ac:dyDescent="0.3">
      <c r="C99" s="2"/>
    </row>
    <row r="100" spans="3:3" ht="15.75" customHeight="1" x14ac:dyDescent="0.3">
      <c r="C100" s="2"/>
    </row>
    <row r="101" spans="3:3" ht="15.75" customHeight="1" x14ac:dyDescent="0.3">
      <c r="C101" s="2"/>
    </row>
    <row r="102" spans="3:3" ht="15.75" customHeight="1" x14ac:dyDescent="0.3">
      <c r="C102" s="2"/>
    </row>
    <row r="103" spans="3:3" ht="15.75" customHeight="1" x14ac:dyDescent="0.3">
      <c r="C103" s="2"/>
    </row>
    <row r="104" spans="3:3" ht="15.75" customHeight="1" x14ac:dyDescent="0.3">
      <c r="C104" s="2"/>
    </row>
    <row r="105" spans="3:3" ht="15.75" customHeight="1" x14ac:dyDescent="0.3">
      <c r="C105" s="2"/>
    </row>
    <row r="106" spans="3:3" ht="15.75" customHeight="1" x14ac:dyDescent="0.3">
      <c r="C106" s="2"/>
    </row>
    <row r="107" spans="3:3" ht="15.75" customHeight="1" x14ac:dyDescent="0.3">
      <c r="C107" s="2"/>
    </row>
    <row r="108" spans="3:3" ht="15.75" customHeight="1" x14ac:dyDescent="0.3">
      <c r="C108" s="2"/>
    </row>
    <row r="109" spans="3:3" ht="15.75" customHeight="1" x14ac:dyDescent="0.3">
      <c r="C109" s="2"/>
    </row>
    <row r="110" spans="3:3" ht="15.75" customHeight="1" x14ac:dyDescent="0.3">
      <c r="C110" s="2"/>
    </row>
    <row r="111" spans="3:3" ht="15.75" customHeight="1" x14ac:dyDescent="0.3">
      <c r="C111" s="2"/>
    </row>
    <row r="112" spans="3:3" ht="15.75" customHeight="1" x14ac:dyDescent="0.3">
      <c r="C112" s="2"/>
    </row>
    <row r="113" spans="3:3" ht="15.75" customHeight="1" x14ac:dyDescent="0.3">
      <c r="C113" s="2"/>
    </row>
    <row r="114" spans="3:3" ht="15.75" customHeight="1" x14ac:dyDescent="0.3">
      <c r="C114" s="2"/>
    </row>
    <row r="115" spans="3:3" ht="15.75" customHeight="1" x14ac:dyDescent="0.3">
      <c r="C115" s="2"/>
    </row>
    <row r="116" spans="3:3" ht="15.75" customHeight="1" x14ac:dyDescent="0.3">
      <c r="C116" s="2"/>
    </row>
    <row r="117" spans="3:3" ht="15.75" customHeight="1" x14ac:dyDescent="0.3">
      <c r="C117" s="2"/>
    </row>
    <row r="118" spans="3:3" ht="15.75" customHeight="1" x14ac:dyDescent="0.3">
      <c r="C118" s="2"/>
    </row>
    <row r="119" spans="3:3" ht="15.75" customHeight="1" x14ac:dyDescent="0.3">
      <c r="C119" s="2"/>
    </row>
    <row r="120" spans="3:3" ht="15.75" customHeight="1" x14ac:dyDescent="0.3">
      <c r="C120" s="2"/>
    </row>
    <row r="121" spans="3:3" ht="15.75" customHeight="1" x14ac:dyDescent="0.3">
      <c r="C121" s="2"/>
    </row>
    <row r="122" spans="3:3" ht="15.75" customHeight="1" x14ac:dyDescent="0.3">
      <c r="C122" s="2"/>
    </row>
    <row r="123" spans="3:3" ht="15.75" customHeight="1" x14ac:dyDescent="0.3">
      <c r="C123" s="2"/>
    </row>
    <row r="124" spans="3:3" ht="15.75" customHeight="1" x14ac:dyDescent="0.3">
      <c r="C124" s="2"/>
    </row>
    <row r="125" spans="3:3" ht="15.75" customHeight="1" x14ac:dyDescent="0.3">
      <c r="C125" s="2"/>
    </row>
    <row r="126" spans="3:3" ht="15.75" customHeight="1" x14ac:dyDescent="0.3">
      <c r="C126" s="2"/>
    </row>
    <row r="127" spans="3:3" ht="15.75" customHeight="1" x14ac:dyDescent="0.3">
      <c r="C127" s="2"/>
    </row>
    <row r="128" spans="3:3" ht="15.75" customHeight="1" x14ac:dyDescent="0.3">
      <c r="C128" s="2"/>
    </row>
    <row r="129" spans="3:3" ht="15.75" customHeight="1" x14ac:dyDescent="0.3">
      <c r="C129" s="2"/>
    </row>
    <row r="130" spans="3:3" ht="15.75" customHeight="1" x14ac:dyDescent="0.3">
      <c r="C130" s="2"/>
    </row>
    <row r="131" spans="3:3" ht="15.75" customHeight="1" x14ac:dyDescent="0.3">
      <c r="C131" s="2"/>
    </row>
    <row r="132" spans="3:3" ht="15.75" customHeight="1" x14ac:dyDescent="0.3">
      <c r="C132" s="2"/>
    </row>
    <row r="133" spans="3:3" ht="15.75" customHeight="1" x14ac:dyDescent="0.3">
      <c r="C133" s="2"/>
    </row>
    <row r="134" spans="3:3" ht="15.75" customHeight="1" x14ac:dyDescent="0.3">
      <c r="C134" s="2"/>
    </row>
    <row r="135" spans="3:3" ht="15.75" customHeight="1" x14ac:dyDescent="0.3">
      <c r="C135" s="2"/>
    </row>
    <row r="136" spans="3:3" ht="15.75" customHeight="1" x14ac:dyDescent="0.3">
      <c r="C136" s="2"/>
    </row>
    <row r="137" spans="3:3" ht="15.75" customHeight="1" x14ac:dyDescent="0.3">
      <c r="C137" s="2"/>
    </row>
    <row r="138" spans="3:3" ht="15.75" customHeight="1" x14ac:dyDescent="0.3">
      <c r="C138" s="2"/>
    </row>
    <row r="139" spans="3:3" ht="15.75" customHeight="1" x14ac:dyDescent="0.3">
      <c r="C139" s="2"/>
    </row>
    <row r="140" spans="3:3" ht="15.75" customHeight="1" x14ac:dyDescent="0.3">
      <c r="C140" s="2"/>
    </row>
    <row r="141" spans="3:3" ht="15.75" customHeight="1" x14ac:dyDescent="0.3">
      <c r="C141" s="2"/>
    </row>
    <row r="142" spans="3:3" ht="15.75" customHeight="1" x14ac:dyDescent="0.3">
      <c r="C142" s="2"/>
    </row>
    <row r="143" spans="3:3" ht="15.75" customHeight="1" x14ac:dyDescent="0.3">
      <c r="C143" s="2"/>
    </row>
    <row r="144" spans="3:3" ht="15.75" customHeight="1" x14ac:dyDescent="0.3">
      <c r="C144" s="2"/>
    </row>
    <row r="145" spans="3:3" ht="15.75" customHeight="1" x14ac:dyDescent="0.3">
      <c r="C145" s="2"/>
    </row>
    <row r="146" spans="3:3" ht="15.75" customHeight="1" x14ac:dyDescent="0.3">
      <c r="C146" s="2"/>
    </row>
    <row r="147" spans="3:3" ht="15.75" customHeight="1" x14ac:dyDescent="0.3">
      <c r="C147" s="2"/>
    </row>
    <row r="148" spans="3:3" ht="15.75" customHeight="1" x14ac:dyDescent="0.3">
      <c r="C148" s="2"/>
    </row>
    <row r="149" spans="3:3" ht="15.75" customHeight="1" x14ac:dyDescent="0.3">
      <c r="C149" s="2"/>
    </row>
    <row r="150" spans="3:3" ht="15.75" customHeight="1" x14ac:dyDescent="0.3">
      <c r="C150" s="2"/>
    </row>
    <row r="151" spans="3:3" ht="15.75" customHeight="1" x14ac:dyDescent="0.3">
      <c r="C151" s="2"/>
    </row>
    <row r="152" spans="3:3" ht="15.75" customHeight="1" x14ac:dyDescent="0.3">
      <c r="C152" s="2"/>
    </row>
    <row r="153" spans="3:3" ht="15.75" customHeight="1" x14ac:dyDescent="0.3">
      <c r="C153" s="2"/>
    </row>
    <row r="154" spans="3:3" ht="15.75" customHeight="1" x14ac:dyDescent="0.3">
      <c r="C154" s="2"/>
    </row>
    <row r="155" spans="3:3" ht="15.75" customHeight="1" x14ac:dyDescent="0.3">
      <c r="C155" s="2"/>
    </row>
    <row r="156" spans="3:3" ht="15.75" customHeight="1" x14ac:dyDescent="0.3">
      <c r="C156" s="2"/>
    </row>
    <row r="157" spans="3:3" ht="15.75" customHeight="1" x14ac:dyDescent="0.3">
      <c r="C157" s="2"/>
    </row>
    <row r="158" spans="3:3" ht="15.75" customHeight="1" x14ac:dyDescent="0.3">
      <c r="C158" s="2"/>
    </row>
    <row r="159" spans="3:3" ht="15.75" customHeight="1" x14ac:dyDescent="0.3">
      <c r="C159" s="2"/>
    </row>
    <row r="160" spans="3:3" ht="15.75" customHeight="1" x14ac:dyDescent="0.3">
      <c r="C160" s="2"/>
    </row>
    <row r="161" spans="3:3" ht="15.75" customHeight="1" x14ac:dyDescent="0.3">
      <c r="C161" s="2"/>
    </row>
    <row r="162" spans="3:3" ht="15.75" customHeight="1" x14ac:dyDescent="0.3">
      <c r="C162" s="2"/>
    </row>
    <row r="163" spans="3:3" ht="15.75" customHeight="1" x14ac:dyDescent="0.3">
      <c r="C163" s="2"/>
    </row>
    <row r="164" spans="3:3" ht="15.75" customHeight="1" x14ac:dyDescent="0.3">
      <c r="C164" s="2"/>
    </row>
    <row r="165" spans="3:3" ht="15.75" customHeight="1" x14ac:dyDescent="0.3">
      <c r="C165" s="2"/>
    </row>
    <row r="166" spans="3:3" ht="15.75" customHeight="1" x14ac:dyDescent="0.3">
      <c r="C166" s="2"/>
    </row>
    <row r="167" spans="3:3" ht="15.75" customHeight="1" x14ac:dyDescent="0.3">
      <c r="C167" s="2"/>
    </row>
    <row r="168" spans="3:3" ht="15.75" customHeight="1" x14ac:dyDescent="0.3">
      <c r="C168" s="2"/>
    </row>
    <row r="169" spans="3:3" ht="15.75" customHeight="1" x14ac:dyDescent="0.3">
      <c r="C169" s="2"/>
    </row>
    <row r="170" spans="3:3" ht="15.75" customHeight="1" x14ac:dyDescent="0.3">
      <c r="C170" s="2"/>
    </row>
    <row r="171" spans="3:3" ht="15.75" customHeight="1" x14ac:dyDescent="0.3">
      <c r="C171" s="2"/>
    </row>
    <row r="172" spans="3:3" ht="15.75" customHeight="1" x14ac:dyDescent="0.3">
      <c r="C172" s="2"/>
    </row>
    <row r="173" spans="3:3" ht="15.75" customHeight="1" x14ac:dyDescent="0.3">
      <c r="C173" s="2"/>
    </row>
    <row r="174" spans="3:3" ht="15.75" customHeight="1" x14ac:dyDescent="0.3">
      <c r="C174" s="2"/>
    </row>
    <row r="175" spans="3:3" ht="15.75" customHeight="1" x14ac:dyDescent="0.3">
      <c r="C175" s="2"/>
    </row>
    <row r="176" spans="3:3" ht="15.75" customHeight="1" x14ac:dyDescent="0.3">
      <c r="C176" s="2"/>
    </row>
    <row r="177" spans="3:3" ht="15.75" customHeight="1" x14ac:dyDescent="0.3">
      <c r="C177" s="2"/>
    </row>
    <row r="178" spans="3:3" ht="15.75" customHeight="1" x14ac:dyDescent="0.3">
      <c r="C178" s="2"/>
    </row>
    <row r="179" spans="3:3" ht="15.75" customHeight="1" x14ac:dyDescent="0.3">
      <c r="C179" s="2"/>
    </row>
    <row r="180" spans="3:3" ht="15.75" customHeight="1" x14ac:dyDescent="0.3">
      <c r="C180" s="2"/>
    </row>
    <row r="181" spans="3:3" ht="15.75" customHeight="1" x14ac:dyDescent="0.3">
      <c r="C181" s="2"/>
    </row>
    <row r="182" spans="3:3" ht="15.75" customHeight="1" x14ac:dyDescent="0.3">
      <c r="C182" s="2"/>
    </row>
    <row r="183" spans="3:3" ht="15.75" customHeight="1" x14ac:dyDescent="0.3">
      <c r="C183" s="2"/>
    </row>
    <row r="184" spans="3:3" ht="15.75" customHeight="1" x14ac:dyDescent="0.3">
      <c r="C184" s="2"/>
    </row>
    <row r="185" spans="3:3" ht="15.75" customHeight="1" x14ac:dyDescent="0.3">
      <c r="C185" s="2"/>
    </row>
    <row r="186" spans="3:3" ht="15.75" customHeight="1" x14ac:dyDescent="0.3">
      <c r="C186" s="2"/>
    </row>
    <row r="187" spans="3:3" ht="15.75" customHeight="1" x14ac:dyDescent="0.3">
      <c r="C187" s="2"/>
    </row>
    <row r="188" spans="3:3" ht="15.75" customHeight="1" x14ac:dyDescent="0.3">
      <c r="C188" s="2"/>
    </row>
    <row r="189" spans="3:3" ht="15.75" customHeight="1" x14ac:dyDescent="0.3">
      <c r="C189" s="2"/>
    </row>
    <row r="190" spans="3:3" ht="15.75" customHeight="1" x14ac:dyDescent="0.3">
      <c r="C190" s="2"/>
    </row>
    <row r="191" spans="3:3" ht="15.75" customHeight="1" x14ac:dyDescent="0.3">
      <c r="C191" s="2"/>
    </row>
    <row r="192" spans="3:3" ht="15.75" customHeight="1" x14ac:dyDescent="0.3">
      <c r="C192" s="2"/>
    </row>
    <row r="193" spans="3:3" ht="15.75" customHeight="1" x14ac:dyDescent="0.3">
      <c r="C193" s="2"/>
    </row>
    <row r="194" spans="3:3" ht="15.75" customHeight="1" x14ac:dyDescent="0.3">
      <c r="C194" s="2"/>
    </row>
    <row r="195" spans="3:3" ht="15.75" customHeight="1" x14ac:dyDescent="0.3">
      <c r="C195" s="2"/>
    </row>
    <row r="196" spans="3:3" ht="15.75" customHeight="1" x14ac:dyDescent="0.3">
      <c r="C196" s="2"/>
    </row>
    <row r="197" spans="3:3" ht="15.75" customHeight="1" x14ac:dyDescent="0.3">
      <c r="C197" s="2"/>
    </row>
    <row r="198" spans="3:3" ht="15.75" customHeight="1" x14ac:dyDescent="0.3">
      <c r="C198" s="2"/>
    </row>
    <row r="199" spans="3:3" ht="15.75" customHeight="1" x14ac:dyDescent="0.3">
      <c r="C199" s="2"/>
    </row>
    <row r="200" spans="3:3" ht="15.75" customHeight="1" x14ac:dyDescent="0.3">
      <c r="C200" s="2"/>
    </row>
    <row r="201" spans="3:3" ht="15.75" customHeight="1" x14ac:dyDescent="0.3">
      <c r="C201" s="2"/>
    </row>
    <row r="202" spans="3:3" ht="15.75" customHeight="1" x14ac:dyDescent="0.3">
      <c r="C202" s="2"/>
    </row>
    <row r="203" spans="3:3" ht="15.75" customHeight="1" x14ac:dyDescent="0.3">
      <c r="C203" s="2"/>
    </row>
    <row r="204" spans="3:3" ht="15.75" customHeight="1" x14ac:dyDescent="0.3">
      <c r="C204" s="2"/>
    </row>
    <row r="205" spans="3:3" ht="15.75" customHeight="1" x14ac:dyDescent="0.3">
      <c r="C205" s="2"/>
    </row>
    <row r="206" spans="3:3" ht="15.75" customHeight="1" x14ac:dyDescent="0.3">
      <c r="C206" s="2"/>
    </row>
    <row r="207" spans="3:3" ht="15.75" customHeight="1" x14ac:dyDescent="0.3">
      <c r="C207" s="2"/>
    </row>
    <row r="208" spans="3:3" ht="15.75" customHeight="1" x14ac:dyDescent="0.3">
      <c r="C208" s="2"/>
    </row>
    <row r="209" spans="3:3" ht="15.75" customHeight="1" x14ac:dyDescent="0.3">
      <c r="C209" s="2"/>
    </row>
    <row r="210" spans="3:3" ht="15.75" customHeight="1" x14ac:dyDescent="0.3">
      <c r="C210" s="2"/>
    </row>
    <row r="211" spans="3:3" ht="15.75" customHeight="1" x14ac:dyDescent="0.3">
      <c r="C211" s="2"/>
    </row>
    <row r="212" spans="3:3" ht="15.75" customHeight="1" x14ac:dyDescent="0.3">
      <c r="C212" s="2"/>
    </row>
    <row r="213" spans="3:3" ht="15.75" customHeight="1" x14ac:dyDescent="0.3">
      <c r="C213" s="2"/>
    </row>
    <row r="214" spans="3:3" ht="15.75" customHeight="1" x14ac:dyDescent="0.3">
      <c r="C214" s="2"/>
    </row>
    <row r="215" spans="3:3" ht="15.75" customHeight="1" x14ac:dyDescent="0.3">
      <c r="C215" s="2"/>
    </row>
    <row r="216" spans="3:3" ht="15.75" customHeight="1" x14ac:dyDescent="0.3">
      <c r="C216" s="2"/>
    </row>
    <row r="217" spans="3:3" ht="15.75" customHeight="1" x14ac:dyDescent="0.3">
      <c r="C217" s="2"/>
    </row>
    <row r="218" spans="3:3" ht="15.75" customHeight="1" x14ac:dyDescent="0.3">
      <c r="C218" s="2"/>
    </row>
    <row r="219" spans="3:3" ht="15.75" customHeight="1" x14ac:dyDescent="0.3">
      <c r="C219" s="2"/>
    </row>
    <row r="220" spans="3:3" ht="15.75" customHeight="1" x14ac:dyDescent="0.3">
      <c r="C220" s="2"/>
    </row>
    <row r="221" spans="3:3" ht="15.75" customHeight="1" x14ac:dyDescent="0.3">
      <c r="C221" s="2"/>
    </row>
    <row r="222" spans="3:3" ht="15.75" customHeight="1" x14ac:dyDescent="0.3">
      <c r="C222" s="2"/>
    </row>
    <row r="223" spans="3:3" ht="15.75" customHeight="1" x14ac:dyDescent="0.3">
      <c r="C223" s="2"/>
    </row>
    <row r="224" spans="3:3" ht="15.75" customHeight="1" x14ac:dyDescent="0.3">
      <c r="C224" s="2"/>
    </row>
    <row r="225" spans="3:3" ht="15.75" customHeight="1" x14ac:dyDescent="0.3">
      <c r="C225" s="2"/>
    </row>
    <row r="226" spans="3:3" ht="15.75" customHeight="1" x14ac:dyDescent="0.3">
      <c r="C226" s="2"/>
    </row>
    <row r="227" spans="3:3" ht="15.75" customHeight="1" x14ac:dyDescent="0.3">
      <c r="C227" s="2"/>
    </row>
    <row r="228" spans="3:3" ht="15.75" customHeight="1" x14ac:dyDescent="0.3">
      <c r="C228" s="2"/>
    </row>
    <row r="229" spans="3:3" ht="15.75" customHeight="1" x14ac:dyDescent="0.3">
      <c r="C229" s="2"/>
    </row>
    <row r="230" spans="3:3" ht="15.75" customHeight="1" x14ac:dyDescent="0.3">
      <c r="C230" s="2"/>
    </row>
    <row r="231" spans="3:3" ht="15.75" customHeight="1" x14ac:dyDescent="0.3">
      <c r="C231" s="2"/>
    </row>
    <row r="232" spans="3:3" ht="15.75" customHeight="1" x14ac:dyDescent="0.3">
      <c r="C232" s="2"/>
    </row>
    <row r="233" spans="3:3" ht="15.75" customHeight="1" x14ac:dyDescent="0.3">
      <c r="C233" s="2"/>
    </row>
    <row r="234" spans="3:3" ht="15.75" customHeight="1" x14ac:dyDescent="0.3">
      <c r="C234" s="2"/>
    </row>
    <row r="235" spans="3:3" ht="15.75" customHeight="1" x14ac:dyDescent="0.3">
      <c r="C235" s="2"/>
    </row>
    <row r="236" spans="3:3" ht="15.75" customHeight="1" x14ac:dyDescent="0.3">
      <c r="C236" s="2"/>
    </row>
    <row r="237" spans="3:3" ht="15.75" customHeight="1" x14ac:dyDescent="0.3">
      <c r="C237" s="2"/>
    </row>
    <row r="238" spans="3:3" ht="15.75" customHeight="1" x14ac:dyDescent="0.3">
      <c r="C238" s="2"/>
    </row>
    <row r="239" spans="3:3" ht="15.75" customHeight="1" x14ac:dyDescent="0.3">
      <c r="C239" s="2"/>
    </row>
    <row r="240" spans="3:3" ht="15.75" customHeight="1" x14ac:dyDescent="0.3">
      <c r="C240" s="2"/>
    </row>
    <row r="241" spans="3:3" ht="15.75" customHeight="1" x14ac:dyDescent="0.3">
      <c r="C241" s="2"/>
    </row>
    <row r="242" spans="3:3" ht="15.75" customHeight="1" x14ac:dyDescent="0.3">
      <c r="C242" s="2"/>
    </row>
    <row r="243" spans="3:3" ht="15.75" customHeight="1" x14ac:dyDescent="0.3">
      <c r="C243" s="2"/>
    </row>
    <row r="244" spans="3:3" ht="15.75" customHeight="1" x14ac:dyDescent="0.3">
      <c r="C244" s="2"/>
    </row>
    <row r="245" spans="3:3" ht="15.75" customHeight="1" x14ac:dyDescent="0.3">
      <c r="C245" s="2"/>
    </row>
    <row r="246" spans="3:3" ht="15.75" customHeight="1" x14ac:dyDescent="0.3">
      <c r="C246" s="2"/>
    </row>
    <row r="247" spans="3:3" ht="15.75" customHeight="1" x14ac:dyDescent="0.3">
      <c r="C247" s="2"/>
    </row>
    <row r="248" spans="3:3" ht="15.75" customHeight="1" x14ac:dyDescent="0.3">
      <c r="C248" s="2"/>
    </row>
    <row r="249" spans="3:3" ht="15.75" customHeight="1" x14ac:dyDescent="0.3">
      <c r="C249" s="2"/>
    </row>
    <row r="250" spans="3:3" ht="15.75" customHeight="1" x14ac:dyDescent="0.3">
      <c r="C250" s="2"/>
    </row>
    <row r="251" spans="3:3" ht="15.75" customHeight="1" x14ac:dyDescent="0.3">
      <c r="C251" s="2"/>
    </row>
    <row r="252" spans="3:3" ht="15.75" customHeight="1" x14ac:dyDescent="0.3">
      <c r="C252" s="2"/>
    </row>
    <row r="253" spans="3:3" ht="15.75" customHeight="1" x14ac:dyDescent="0.3">
      <c r="C253" s="2"/>
    </row>
    <row r="254" spans="3:3" ht="15.75" customHeight="1" x14ac:dyDescent="0.3">
      <c r="C254" s="2"/>
    </row>
    <row r="255" spans="3:3" ht="15.75" customHeight="1" x14ac:dyDescent="0.3">
      <c r="C255" s="2"/>
    </row>
    <row r="256" spans="3:3" ht="15.75" customHeight="1" x14ac:dyDescent="0.3">
      <c r="C256" s="2"/>
    </row>
    <row r="257" spans="3:3" ht="15.75" customHeight="1" x14ac:dyDescent="0.3">
      <c r="C257" s="2"/>
    </row>
    <row r="258" spans="3:3" ht="15.75" customHeight="1" x14ac:dyDescent="0.3">
      <c r="C258" s="2"/>
    </row>
    <row r="259" spans="3:3" ht="15.75" customHeight="1" x14ac:dyDescent="0.3">
      <c r="C259" s="2"/>
    </row>
    <row r="260" spans="3:3" ht="15.75" customHeight="1" x14ac:dyDescent="0.3">
      <c r="C260" s="2"/>
    </row>
    <row r="261" spans="3:3" ht="15.75" customHeight="1" x14ac:dyDescent="0.3">
      <c r="C261" s="2"/>
    </row>
    <row r="262" spans="3:3" ht="15.75" customHeight="1" x14ac:dyDescent="0.3">
      <c r="C262" s="2"/>
    </row>
    <row r="263" spans="3:3" ht="15.75" customHeight="1" x14ac:dyDescent="0.3">
      <c r="C263" s="2"/>
    </row>
    <row r="264" spans="3:3" ht="15.75" customHeight="1" x14ac:dyDescent="0.3">
      <c r="C264" s="2"/>
    </row>
    <row r="265" spans="3:3" ht="15.75" customHeight="1" x14ac:dyDescent="0.3">
      <c r="C265" s="2"/>
    </row>
    <row r="266" spans="3:3" ht="15.75" customHeight="1" x14ac:dyDescent="0.3">
      <c r="C266" s="2"/>
    </row>
    <row r="267" spans="3:3" ht="15.75" customHeight="1" x14ac:dyDescent="0.3">
      <c r="C267" s="2"/>
    </row>
    <row r="268" spans="3:3" ht="15.75" customHeight="1" x14ac:dyDescent="0.3">
      <c r="C268" s="2"/>
    </row>
    <row r="269" spans="3:3" ht="15.75" customHeight="1" x14ac:dyDescent="0.3">
      <c r="C269" s="2"/>
    </row>
    <row r="270" spans="3:3" ht="15.75" customHeight="1" x14ac:dyDescent="0.3">
      <c r="C270" s="2"/>
    </row>
    <row r="271" spans="3:3" ht="15.75" customHeight="1" x14ac:dyDescent="0.3">
      <c r="C271" s="2"/>
    </row>
    <row r="272" spans="3:3" ht="15.75" customHeight="1" x14ac:dyDescent="0.3">
      <c r="C272" s="2"/>
    </row>
    <row r="273" spans="3:3" ht="15.75" customHeight="1" x14ac:dyDescent="0.3">
      <c r="C273" s="2"/>
    </row>
    <row r="274" spans="3:3" ht="15.75" customHeight="1" x14ac:dyDescent="0.3">
      <c r="C274" s="2"/>
    </row>
    <row r="275" spans="3:3" ht="15.75" customHeight="1" x14ac:dyDescent="0.3">
      <c r="C275" s="2"/>
    </row>
    <row r="276" spans="3:3" ht="15.75" customHeight="1" x14ac:dyDescent="0.3">
      <c r="C276" s="2"/>
    </row>
    <row r="277" spans="3:3" ht="15.75" customHeight="1" x14ac:dyDescent="0.3">
      <c r="C277" s="2"/>
    </row>
    <row r="278" spans="3:3" ht="15.75" customHeight="1" x14ac:dyDescent="0.3">
      <c r="C278" s="2"/>
    </row>
    <row r="279" spans="3:3" ht="15.75" customHeight="1" x14ac:dyDescent="0.3">
      <c r="C279" s="2"/>
    </row>
    <row r="280" spans="3:3" ht="15.75" customHeight="1" x14ac:dyDescent="0.3">
      <c r="C280" s="2"/>
    </row>
    <row r="281" spans="3:3" ht="15.75" customHeight="1" x14ac:dyDescent="0.3">
      <c r="C281" s="2"/>
    </row>
    <row r="282" spans="3:3" ht="15.75" customHeight="1" x14ac:dyDescent="0.3">
      <c r="C282" s="2"/>
    </row>
    <row r="283" spans="3:3" ht="15.75" customHeight="1" x14ac:dyDescent="0.3">
      <c r="C283" s="2"/>
    </row>
    <row r="284" spans="3:3" ht="15.75" customHeight="1" x14ac:dyDescent="0.3">
      <c r="C284" s="2"/>
    </row>
    <row r="285" spans="3:3" ht="15.75" customHeight="1" x14ac:dyDescent="0.3">
      <c r="C285" s="2"/>
    </row>
    <row r="286" spans="3:3" ht="15.75" customHeight="1" x14ac:dyDescent="0.3">
      <c r="C286" s="2"/>
    </row>
    <row r="287" spans="3:3" ht="15.75" customHeight="1" x14ac:dyDescent="0.3">
      <c r="C287" s="2"/>
    </row>
    <row r="288" spans="3:3" ht="15.75" customHeight="1" x14ac:dyDescent="0.3">
      <c r="C288" s="2"/>
    </row>
    <row r="289" spans="3:3" ht="15.75" customHeight="1" x14ac:dyDescent="0.3">
      <c r="C289" s="2"/>
    </row>
    <row r="290" spans="3:3" ht="15.75" customHeight="1" x14ac:dyDescent="0.3">
      <c r="C290" s="2"/>
    </row>
    <row r="291" spans="3:3" ht="15.75" customHeight="1" x14ac:dyDescent="0.3">
      <c r="C291" s="2"/>
    </row>
    <row r="292" spans="3:3" ht="15.75" customHeight="1" x14ac:dyDescent="0.3">
      <c r="C292" s="2"/>
    </row>
    <row r="293" spans="3:3" ht="15.75" customHeight="1" x14ac:dyDescent="0.3">
      <c r="C293" s="2"/>
    </row>
    <row r="294" spans="3:3" ht="15.75" customHeight="1" x14ac:dyDescent="0.3">
      <c r="C294" s="2"/>
    </row>
    <row r="295" spans="3:3" ht="15.75" customHeight="1" x14ac:dyDescent="0.3">
      <c r="C295" s="2"/>
    </row>
    <row r="296" spans="3:3" ht="15.75" customHeight="1" x14ac:dyDescent="0.3">
      <c r="C296" s="2"/>
    </row>
    <row r="297" spans="3:3" ht="15.75" customHeight="1" x14ac:dyDescent="0.3">
      <c r="C297" s="2"/>
    </row>
    <row r="298" spans="3:3" ht="15.75" customHeight="1" x14ac:dyDescent="0.3">
      <c r="C298" s="2"/>
    </row>
    <row r="299" spans="3:3" ht="15.75" customHeight="1" x14ac:dyDescent="0.3">
      <c r="C299" s="2"/>
    </row>
    <row r="300" spans="3:3" ht="15.75" customHeight="1" x14ac:dyDescent="0.3">
      <c r="C300" s="2"/>
    </row>
    <row r="301" spans="3:3" ht="15.75" customHeight="1" x14ac:dyDescent="0.3">
      <c r="C301" s="2"/>
    </row>
    <row r="302" spans="3:3" ht="15.75" customHeight="1" x14ac:dyDescent="0.3">
      <c r="C302" s="2"/>
    </row>
    <row r="303" spans="3:3" ht="15.75" customHeight="1" x14ac:dyDescent="0.3">
      <c r="C303" s="2"/>
    </row>
    <row r="304" spans="3:3" ht="15.75" customHeight="1" x14ac:dyDescent="0.3">
      <c r="C304" s="2"/>
    </row>
    <row r="305" spans="3:3" ht="15.75" customHeight="1" x14ac:dyDescent="0.3">
      <c r="C305" s="2"/>
    </row>
    <row r="306" spans="3:3" ht="15.75" customHeight="1" x14ac:dyDescent="0.3">
      <c r="C306" s="2"/>
    </row>
    <row r="307" spans="3:3" ht="15.75" customHeight="1" x14ac:dyDescent="0.3">
      <c r="C307" s="2"/>
    </row>
    <row r="308" spans="3:3" ht="15.75" customHeight="1" x14ac:dyDescent="0.3">
      <c r="C308" s="2"/>
    </row>
    <row r="309" spans="3:3" ht="15.75" customHeight="1" x14ac:dyDescent="0.3">
      <c r="C309" s="2"/>
    </row>
    <row r="310" spans="3:3" ht="15.75" customHeight="1" x14ac:dyDescent="0.3">
      <c r="C310" s="2"/>
    </row>
    <row r="311" spans="3:3" ht="15.75" customHeight="1" x14ac:dyDescent="0.3">
      <c r="C311" s="2"/>
    </row>
    <row r="312" spans="3:3" ht="15.75" customHeight="1" x14ac:dyDescent="0.3">
      <c r="C312" s="2"/>
    </row>
    <row r="313" spans="3:3" ht="15.75" customHeight="1" x14ac:dyDescent="0.3">
      <c r="C313" s="2"/>
    </row>
    <row r="314" spans="3:3" ht="15.75" customHeight="1" x14ac:dyDescent="0.3">
      <c r="C314" s="2"/>
    </row>
    <row r="315" spans="3:3" ht="15.75" customHeight="1" x14ac:dyDescent="0.3">
      <c r="C315" s="2"/>
    </row>
    <row r="316" spans="3:3" ht="15.75" customHeight="1" x14ac:dyDescent="0.3">
      <c r="C316" s="2"/>
    </row>
    <row r="317" spans="3:3" ht="15.75" customHeight="1" x14ac:dyDescent="0.3">
      <c r="C317" s="2"/>
    </row>
    <row r="318" spans="3:3" ht="15.75" customHeight="1" x14ac:dyDescent="0.3">
      <c r="C318" s="2"/>
    </row>
    <row r="319" spans="3:3" ht="15.75" customHeight="1" x14ac:dyDescent="0.3">
      <c r="C319" s="2"/>
    </row>
    <row r="320" spans="3:3" ht="15.75" customHeight="1" x14ac:dyDescent="0.3">
      <c r="C320" s="2"/>
    </row>
    <row r="321" spans="3:3" ht="15.75" customHeight="1" x14ac:dyDescent="0.3">
      <c r="C321" s="2"/>
    </row>
    <row r="322" spans="3:3" ht="15.75" customHeight="1" x14ac:dyDescent="0.3">
      <c r="C322" s="2"/>
    </row>
    <row r="323" spans="3:3" ht="15.75" customHeight="1" x14ac:dyDescent="0.3">
      <c r="C323" s="2"/>
    </row>
    <row r="324" spans="3:3" ht="15.75" customHeight="1" x14ac:dyDescent="0.3">
      <c r="C324" s="2"/>
    </row>
    <row r="325" spans="3:3" ht="15.75" customHeight="1" x14ac:dyDescent="0.3">
      <c r="C325" s="2"/>
    </row>
    <row r="326" spans="3:3" ht="15.75" customHeight="1" x14ac:dyDescent="0.3">
      <c r="C326" s="2"/>
    </row>
    <row r="327" spans="3:3" ht="15.75" customHeight="1" x14ac:dyDescent="0.3">
      <c r="C327" s="2"/>
    </row>
    <row r="328" spans="3:3" ht="15.75" customHeight="1" x14ac:dyDescent="0.3">
      <c r="C328" s="2"/>
    </row>
    <row r="329" spans="3:3" ht="15.75" customHeight="1" x14ac:dyDescent="0.3">
      <c r="C329" s="2"/>
    </row>
    <row r="330" spans="3:3" ht="15.75" customHeight="1" x14ac:dyDescent="0.3">
      <c r="C330" s="2"/>
    </row>
    <row r="331" spans="3:3" ht="15.75" customHeight="1" x14ac:dyDescent="0.3">
      <c r="C331" s="2"/>
    </row>
    <row r="332" spans="3:3" ht="15.75" customHeight="1" x14ac:dyDescent="0.3">
      <c r="C332" s="2"/>
    </row>
    <row r="333" spans="3:3" ht="15.75" customHeight="1" x14ac:dyDescent="0.3">
      <c r="C333" s="2"/>
    </row>
    <row r="334" spans="3:3" ht="15.75" customHeight="1" x14ac:dyDescent="0.3">
      <c r="C334" s="2"/>
    </row>
    <row r="335" spans="3:3" ht="15.75" customHeight="1" x14ac:dyDescent="0.3">
      <c r="C335" s="2"/>
    </row>
    <row r="336" spans="3:3" ht="15.75" customHeight="1" x14ac:dyDescent="0.3">
      <c r="C336" s="2"/>
    </row>
    <row r="337" spans="3:3" ht="15.75" customHeight="1" x14ac:dyDescent="0.3">
      <c r="C337" s="2"/>
    </row>
    <row r="338" spans="3:3" ht="15.75" customHeight="1" x14ac:dyDescent="0.3">
      <c r="C338" s="2"/>
    </row>
    <row r="339" spans="3:3" ht="15.75" customHeight="1" x14ac:dyDescent="0.3">
      <c r="C339" s="2"/>
    </row>
    <row r="340" spans="3:3" ht="15.75" customHeight="1" x14ac:dyDescent="0.3">
      <c r="C340" s="2"/>
    </row>
    <row r="341" spans="3:3" ht="15.75" customHeight="1" x14ac:dyDescent="0.3">
      <c r="C341" s="2"/>
    </row>
    <row r="342" spans="3:3" ht="15.75" customHeight="1" x14ac:dyDescent="0.3">
      <c r="C342" s="2"/>
    </row>
    <row r="343" spans="3:3" ht="15.75" customHeight="1" x14ac:dyDescent="0.3">
      <c r="C343" s="2"/>
    </row>
    <row r="344" spans="3:3" ht="15.75" customHeight="1" x14ac:dyDescent="0.3">
      <c r="C344" s="2"/>
    </row>
    <row r="345" spans="3:3" ht="15.75" customHeight="1" x14ac:dyDescent="0.3">
      <c r="C345" s="2"/>
    </row>
    <row r="346" spans="3:3" ht="15.75" customHeight="1" x14ac:dyDescent="0.3">
      <c r="C346" s="2"/>
    </row>
    <row r="347" spans="3:3" ht="15.75" customHeight="1" x14ac:dyDescent="0.3">
      <c r="C347" s="2"/>
    </row>
    <row r="348" spans="3:3" ht="15.75" customHeight="1" x14ac:dyDescent="0.3">
      <c r="C348" s="2"/>
    </row>
    <row r="349" spans="3:3" ht="15.75" customHeight="1" x14ac:dyDescent="0.3">
      <c r="C349" s="2"/>
    </row>
    <row r="350" spans="3:3" ht="15.75" customHeight="1" x14ac:dyDescent="0.3">
      <c r="C350" s="2"/>
    </row>
    <row r="351" spans="3:3" ht="15.75" customHeight="1" x14ac:dyDescent="0.3">
      <c r="C351" s="2"/>
    </row>
    <row r="352" spans="3:3" ht="15.75" customHeight="1" x14ac:dyDescent="0.3">
      <c r="C352" s="2"/>
    </row>
    <row r="353" spans="3:3" ht="15.75" customHeight="1" x14ac:dyDescent="0.3">
      <c r="C353" s="2"/>
    </row>
    <row r="354" spans="3:3" ht="15.75" customHeight="1" x14ac:dyDescent="0.3">
      <c r="C354" s="2"/>
    </row>
    <row r="355" spans="3:3" ht="15.75" customHeight="1" x14ac:dyDescent="0.3">
      <c r="C355" s="2"/>
    </row>
    <row r="356" spans="3:3" ht="15.75" customHeight="1" x14ac:dyDescent="0.3">
      <c r="C356" s="2"/>
    </row>
    <row r="357" spans="3:3" ht="15.75" customHeight="1" x14ac:dyDescent="0.3">
      <c r="C357" s="2"/>
    </row>
    <row r="358" spans="3:3" ht="15.75" customHeight="1" x14ac:dyDescent="0.3">
      <c r="C358" s="2"/>
    </row>
    <row r="359" spans="3:3" ht="15.75" customHeight="1" x14ac:dyDescent="0.3">
      <c r="C359" s="2"/>
    </row>
    <row r="360" spans="3:3" ht="15.75" customHeight="1" x14ac:dyDescent="0.3">
      <c r="C360" s="2"/>
    </row>
    <row r="361" spans="3:3" ht="15.75" customHeight="1" x14ac:dyDescent="0.3">
      <c r="C361" s="2"/>
    </row>
    <row r="362" spans="3:3" ht="15.75" customHeight="1" x14ac:dyDescent="0.3">
      <c r="C362" s="2"/>
    </row>
    <row r="363" spans="3:3" ht="15.75" customHeight="1" x14ac:dyDescent="0.3">
      <c r="C363" s="2"/>
    </row>
    <row r="364" spans="3:3" ht="15.75" customHeight="1" x14ac:dyDescent="0.3">
      <c r="C364" s="2"/>
    </row>
    <row r="365" spans="3:3" ht="15.75" customHeight="1" x14ac:dyDescent="0.3">
      <c r="C365" s="2"/>
    </row>
    <row r="366" spans="3:3" ht="15.75" customHeight="1" x14ac:dyDescent="0.3">
      <c r="C366" s="2"/>
    </row>
    <row r="367" spans="3:3" ht="15.75" customHeight="1" x14ac:dyDescent="0.3">
      <c r="C367" s="2"/>
    </row>
    <row r="368" spans="3:3" ht="15.75" customHeight="1" x14ac:dyDescent="0.3">
      <c r="C368" s="2"/>
    </row>
    <row r="369" spans="3:3" ht="15.75" customHeight="1" x14ac:dyDescent="0.3">
      <c r="C369" s="2"/>
    </row>
    <row r="370" spans="3:3" ht="15.75" customHeight="1" x14ac:dyDescent="0.3">
      <c r="C370" s="2"/>
    </row>
    <row r="371" spans="3:3" ht="15.75" customHeight="1" x14ac:dyDescent="0.3">
      <c r="C371" s="2"/>
    </row>
    <row r="372" spans="3:3" ht="15.75" customHeight="1" x14ac:dyDescent="0.3">
      <c r="C372" s="2"/>
    </row>
    <row r="373" spans="3:3" ht="15.75" customHeight="1" x14ac:dyDescent="0.3">
      <c r="C373" s="2"/>
    </row>
    <row r="374" spans="3:3" ht="15.75" customHeight="1" x14ac:dyDescent="0.3">
      <c r="C374" s="2"/>
    </row>
    <row r="375" spans="3:3" ht="15.75" customHeight="1" x14ac:dyDescent="0.3">
      <c r="C375" s="2"/>
    </row>
    <row r="376" spans="3:3" ht="15.75" customHeight="1" x14ac:dyDescent="0.3">
      <c r="C376" s="2"/>
    </row>
    <row r="377" spans="3:3" ht="15.75" customHeight="1" x14ac:dyDescent="0.3">
      <c r="C377" s="2"/>
    </row>
    <row r="378" spans="3:3" ht="15.75" customHeight="1" x14ac:dyDescent="0.3">
      <c r="C378" s="2"/>
    </row>
    <row r="379" spans="3:3" ht="15.75" customHeight="1" x14ac:dyDescent="0.3">
      <c r="C379" s="2"/>
    </row>
    <row r="380" spans="3:3" ht="15.75" customHeight="1" x14ac:dyDescent="0.3">
      <c r="C380" s="2"/>
    </row>
    <row r="381" spans="3:3" ht="15.75" customHeight="1" x14ac:dyDescent="0.3">
      <c r="C381" s="2"/>
    </row>
    <row r="382" spans="3:3" ht="15.75" customHeight="1" x14ac:dyDescent="0.3">
      <c r="C382" s="2"/>
    </row>
    <row r="383" spans="3:3" ht="15.75" customHeight="1" x14ac:dyDescent="0.3">
      <c r="C383" s="2"/>
    </row>
    <row r="384" spans="3:3" ht="15.75" customHeight="1" x14ac:dyDescent="0.3">
      <c r="C384" s="2"/>
    </row>
    <row r="385" spans="3:3" ht="15.75" customHeight="1" x14ac:dyDescent="0.3">
      <c r="C385" s="2"/>
    </row>
    <row r="386" spans="3:3" ht="15.75" customHeight="1" x14ac:dyDescent="0.3">
      <c r="C386" s="2"/>
    </row>
    <row r="387" spans="3:3" ht="15.75" customHeight="1" x14ac:dyDescent="0.3">
      <c r="C387" s="2"/>
    </row>
    <row r="388" spans="3:3" ht="15.75" customHeight="1" x14ac:dyDescent="0.3">
      <c r="C388" s="2"/>
    </row>
    <row r="389" spans="3:3" ht="15.75" customHeight="1" x14ac:dyDescent="0.3">
      <c r="C389" s="2"/>
    </row>
    <row r="390" spans="3:3" ht="15.75" customHeight="1" x14ac:dyDescent="0.3">
      <c r="C390" s="2"/>
    </row>
    <row r="391" spans="3:3" ht="15.75" customHeight="1" x14ac:dyDescent="0.3">
      <c r="C391" s="2"/>
    </row>
    <row r="392" spans="3:3" ht="15.75" customHeight="1" x14ac:dyDescent="0.3">
      <c r="C392" s="2"/>
    </row>
    <row r="393" spans="3:3" ht="15.75" customHeight="1" x14ac:dyDescent="0.3">
      <c r="C393" s="2"/>
    </row>
    <row r="394" spans="3:3" ht="15.75" customHeight="1" x14ac:dyDescent="0.3">
      <c r="C394" s="2"/>
    </row>
    <row r="395" spans="3:3" ht="15.75" customHeight="1" x14ac:dyDescent="0.3">
      <c r="C395" s="2"/>
    </row>
    <row r="396" spans="3:3" ht="15.75" customHeight="1" x14ac:dyDescent="0.3">
      <c r="C396" s="2"/>
    </row>
    <row r="397" spans="3:3" ht="15.75" customHeight="1" x14ac:dyDescent="0.3">
      <c r="C397" s="2"/>
    </row>
    <row r="398" spans="3:3" ht="15.75" customHeight="1" x14ac:dyDescent="0.3">
      <c r="C398" s="2"/>
    </row>
    <row r="399" spans="3:3" ht="15.75" customHeight="1" x14ac:dyDescent="0.3">
      <c r="C399" s="2"/>
    </row>
    <row r="400" spans="3:3" ht="15.75" customHeight="1" x14ac:dyDescent="0.3">
      <c r="C400" s="2"/>
    </row>
    <row r="401" spans="3:3" ht="15.75" customHeight="1" x14ac:dyDescent="0.3">
      <c r="C401" s="2"/>
    </row>
    <row r="402" spans="3:3" ht="15.75" customHeight="1" x14ac:dyDescent="0.3">
      <c r="C402" s="2"/>
    </row>
    <row r="403" spans="3:3" ht="15.75" customHeight="1" x14ac:dyDescent="0.3">
      <c r="C403" s="2"/>
    </row>
    <row r="404" spans="3:3" ht="15.75" customHeight="1" x14ac:dyDescent="0.3">
      <c r="C404" s="2"/>
    </row>
    <row r="405" spans="3:3" ht="15.75" customHeight="1" x14ac:dyDescent="0.3">
      <c r="C405" s="2"/>
    </row>
    <row r="406" spans="3:3" ht="15.75" customHeight="1" x14ac:dyDescent="0.3">
      <c r="C406" s="2"/>
    </row>
    <row r="407" spans="3:3" ht="15.75" customHeight="1" x14ac:dyDescent="0.3">
      <c r="C407" s="2"/>
    </row>
    <row r="408" spans="3:3" ht="15.75" customHeight="1" x14ac:dyDescent="0.3">
      <c r="C408" s="2"/>
    </row>
    <row r="409" spans="3:3" ht="15.75" customHeight="1" x14ac:dyDescent="0.3">
      <c r="C409" s="2"/>
    </row>
    <row r="410" spans="3:3" ht="15.75" customHeight="1" x14ac:dyDescent="0.3">
      <c r="C410" s="2"/>
    </row>
    <row r="411" spans="3:3" ht="15.75" customHeight="1" x14ac:dyDescent="0.3">
      <c r="C411" s="2"/>
    </row>
    <row r="412" spans="3:3" ht="15.75" customHeight="1" x14ac:dyDescent="0.3">
      <c r="C412" s="2"/>
    </row>
    <row r="413" spans="3:3" ht="15.75" customHeight="1" x14ac:dyDescent="0.3">
      <c r="C413" s="2"/>
    </row>
    <row r="414" spans="3:3" ht="15.75" customHeight="1" x14ac:dyDescent="0.3">
      <c r="C414" s="2"/>
    </row>
    <row r="415" spans="3:3" ht="15.75" customHeight="1" x14ac:dyDescent="0.3">
      <c r="C415" s="2"/>
    </row>
    <row r="416" spans="3:3" ht="15.75" customHeight="1" x14ac:dyDescent="0.3">
      <c r="C416" s="2"/>
    </row>
    <row r="417" spans="3:3" ht="15.75" customHeight="1" x14ac:dyDescent="0.3">
      <c r="C417" s="2"/>
    </row>
    <row r="418" spans="3:3" ht="15.75" customHeight="1" x14ac:dyDescent="0.3">
      <c r="C418" s="2"/>
    </row>
    <row r="419" spans="3:3" ht="15.75" customHeight="1" x14ac:dyDescent="0.3">
      <c r="C419" s="2"/>
    </row>
    <row r="420" spans="3:3" ht="15.75" customHeight="1" x14ac:dyDescent="0.3">
      <c r="C420" s="2"/>
    </row>
    <row r="421" spans="3:3" ht="15.75" customHeight="1" x14ac:dyDescent="0.3">
      <c r="C421" s="2"/>
    </row>
    <row r="422" spans="3:3" ht="15.75" customHeight="1" x14ac:dyDescent="0.3">
      <c r="C422" s="2"/>
    </row>
    <row r="423" spans="3:3" ht="15.75" customHeight="1" x14ac:dyDescent="0.3">
      <c r="C423" s="2"/>
    </row>
    <row r="424" spans="3:3" ht="15.75" customHeight="1" x14ac:dyDescent="0.3">
      <c r="C424" s="2"/>
    </row>
    <row r="425" spans="3:3" ht="15.75" customHeight="1" x14ac:dyDescent="0.3">
      <c r="C425" s="2"/>
    </row>
    <row r="426" spans="3:3" ht="15.75" customHeight="1" x14ac:dyDescent="0.3">
      <c r="C426" s="2"/>
    </row>
    <row r="427" spans="3:3" ht="15.75" customHeight="1" x14ac:dyDescent="0.3">
      <c r="C427" s="2"/>
    </row>
    <row r="428" spans="3:3" ht="15.75" customHeight="1" x14ac:dyDescent="0.3">
      <c r="C428" s="2"/>
    </row>
    <row r="429" spans="3:3" ht="15.75" customHeight="1" x14ac:dyDescent="0.3">
      <c r="C429" s="2"/>
    </row>
    <row r="430" spans="3:3" ht="15.75" customHeight="1" x14ac:dyDescent="0.3">
      <c r="C430" s="2"/>
    </row>
    <row r="431" spans="3:3" ht="15.75" customHeight="1" x14ac:dyDescent="0.3">
      <c r="C431" s="2"/>
    </row>
    <row r="432" spans="3:3" ht="15.75" customHeight="1" x14ac:dyDescent="0.3">
      <c r="C432" s="2"/>
    </row>
    <row r="433" spans="3:3" ht="15.75" customHeight="1" x14ac:dyDescent="0.3">
      <c r="C433" s="2"/>
    </row>
    <row r="434" spans="3:3" ht="15.75" customHeight="1" x14ac:dyDescent="0.3">
      <c r="C434" s="2"/>
    </row>
    <row r="435" spans="3:3" ht="15.75" customHeight="1" x14ac:dyDescent="0.3">
      <c r="C435" s="2"/>
    </row>
    <row r="436" spans="3:3" ht="15.75" customHeight="1" x14ac:dyDescent="0.3">
      <c r="C436" s="2"/>
    </row>
    <row r="437" spans="3:3" ht="15.75" customHeight="1" x14ac:dyDescent="0.3">
      <c r="C437" s="2"/>
    </row>
    <row r="438" spans="3:3" ht="15.75" customHeight="1" x14ac:dyDescent="0.3">
      <c r="C438" s="2"/>
    </row>
    <row r="439" spans="3:3" ht="15.75" customHeight="1" x14ac:dyDescent="0.3">
      <c r="C439" s="2"/>
    </row>
    <row r="440" spans="3:3" ht="15.75" customHeight="1" x14ac:dyDescent="0.3">
      <c r="C440" s="2"/>
    </row>
    <row r="441" spans="3:3" ht="15.75" customHeight="1" x14ac:dyDescent="0.3">
      <c r="C441" s="2"/>
    </row>
    <row r="442" spans="3:3" ht="15.75" customHeight="1" x14ac:dyDescent="0.3">
      <c r="C442" s="2"/>
    </row>
    <row r="443" spans="3:3" ht="15.75" customHeight="1" x14ac:dyDescent="0.3">
      <c r="C443" s="2"/>
    </row>
    <row r="444" spans="3:3" ht="15.75" customHeight="1" x14ac:dyDescent="0.3">
      <c r="C444" s="2"/>
    </row>
    <row r="445" spans="3:3" ht="15.75" customHeight="1" x14ac:dyDescent="0.3">
      <c r="C445" s="2"/>
    </row>
    <row r="446" spans="3:3" ht="15.75" customHeight="1" x14ac:dyDescent="0.3">
      <c r="C446" s="2"/>
    </row>
    <row r="447" spans="3:3" ht="15.75" customHeight="1" x14ac:dyDescent="0.3">
      <c r="C447" s="2"/>
    </row>
    <row r="448" spans="3:3" ht="15.75" customHeight="1" x14ac:dyDescent="0.3">
      <c r="C448" s="2"/>
    </row>
    <row r="449" spans="3:3" ht="15.75" customHeight="1" x14ac:dyDescent="0.3">
      <c r="C449" s="2"/>
    </row>
    <row r="450" spans="3:3" ht="15.75" customHeight="1" x14ac:dyDescent="0.3">
      <c r="C450" s="2"/>
    </row>
    <row r="451" spans="3:3" ht="15.75" customHeight="1" x14ac:dyDescent="0.3">
      <c r="C451" s="2"/>
    </row>
    <row r="452" spans="3:3" ht="15.75" customHeight="1" x14ac:dyDescent="0.3">
      <c r="C452" s="2"/>
    </row>
    <row r="453" spans="3:3" ht="15.75" customHeight="1" x14ac:dyDescent="0.3">
      <c r="C453" s="2"/>
    </row>
    <row r="454" spans="3:3" ht="15.75" customHeight="1" x14ac:dyDescent="0.3">
      <c r="C454" s="2"/>
    </row>
    <row r="455" spans="3:3" ht="15.75" customHeight="1" x14ac:dyDescent="0.3">
      <c r="C455" s="2"/>
    </row>
    <row r="456" spans="3:3" ht="15.75" customHeight="1" x14ac:dyDescent="0.3">
      <c r="C456" s="2"/>
    </row>
    <row r="457" spans="3:3" ht="15.75" customHeight="1" x14ac:dyDescent="0.3">
      <c r="C457" s="2"/>
    </row>
    <row r="458" spans="3:3" ht="15.75" customHeight="1" x14ac:dyDescent="0.3">
      <c r="C458" s="2"/>
    </row>
    <row r="459" spans="3:3" ht="15.75" customHeight="1" x14ac:dyDescent="0.3">
      <c r="C459" s="2"/>
    </row>
    <row r="460" spans="3:3" ht="15.75" customHeight="1" x14ac:dyDescent="0.3">
      <c r="C460" s="2"/>
    </row>
    <row r="461" spans="3:3" ht="15.75" customHeight="1" x14ac:dyDescent="0.3">
      <c r="C461" s="2"/>
    </row>
    <row r="462" spans="3:3" ht="15.75" customHeight="1" x14ac:dyDescent="0.3">
      <c r="C462" s="2"/>
    </row>
    <row r="463" spans="3:3" ht="15.75" customHeight="1" x14ac:dyDescent="0.3">
      <c r="C463" s="2"/>
    </row>
    <row r="464" spans="3:3" ht="15.75" customHeight="1" x14ac:dyDescent="0.3">
      <c r="C464" s="2"/>
    </row>
    <row r="465" spans="3:3" ht="15.75" customHeight="1" x14ac:dyDescent="0.3">
      <c r="C465" s="2"/>
    </row>
    <row r="466" spans="3:3" ht="15.75" customHeight="1" x14ac:dyDescent="0.3">
      <c r="C466" s="2"/>
    </row>
    <row r="467" spans="3:3" ht="15.75" customHeight="1" x14ac:dyDescent="0.3">
      <c r="C467" s="2"/>
    </row>
    <row r="468" spans="3:3" ht="15.75" customHeight="1" x14ac:dyDescent="0.3">
      <c r="C468" s="2"/>
    </row>
    <row r="469" spans="3:3" ht="15.75" customHeight="1" x14ac:dyDescent="0.3">
      <c r="C469" s="2"/>
    </row>
    <row r="470" spans="3:3" ht="15.75" customHeight="1" x14ac:dyDescent="0.3">
      <c r="C470" s="2"/>
    </row>
    <row r="471" spans="3:3" ht="15.75" customHeight="1" x14ac:dyDescent="0.3">
      <c r="C471" s="2"/>
    </row>
    <row r="472" spans="3:3" ht="15.75" customHeight="1" x14ac:dyDescent="0.3">
      <c r="C472" s="2"/>
    </row>
    <row r="473" spans="3:3" ht="15.75" customHeight="1" x14ac:dyDescent="0.3">
      <c r="C473" s="2"/>
    </row>
    <row r="474" spans="3:3" ht="15.75" customHeight="1" x14ac:dyDescent="0.3">
      <c r="C474" s="2"/>
    </row>
    <row r="475" spans="3:3" ht="15.75" customHeight="1" x14ac:dyDescent="0.3">
      <c r="C475" s="2"/>
    </row>
    <row r="476" spans="3:3" ht="15.75" customHeight="1" x14ac:dyDescent="0.3">
      <c r="C476" s="2"/>
    </row>
    <row r="477" spans="3:3" ht="15.75" customHeight="1" x14ac:dyDescent="0.3">
      <c r="C477" s="2"/>
    </row>
    <row r="478" spans="3:3" ht="15.75" customHeight="1" x14ac:dyDescent="0.3">
      <c r="C478" s="2"/>
    </row>
    <row r="479" spans="3:3" ht="15.75" customHeight="1" x14ac:dyDescent="0.3">
      <c r="C479" s="2"/>
    </row>
    <row r="480" spans="3:3" ht="15.75" customHeight="1" x14ac:dyDescent="0.3">
      <c r="C480" s="2"/>
    </row>
    <row r="481" spans="3:3" ht="15.75" customHeight="1" x14ac:dyDescent="0.3">
      <c r="C481" s="2"/>
    </row>
    <row r="482" spans="3:3" ht="15.75" customHeight="1" x14ac:dyDescent="0.3">
      <c r="C482" s="2"/>
    </row>
    <row r="483" spans="3:3" ht="15.75" customHeight="1" x14ac:dyDescent="0.3">
      <c r="C483" s="2"/>
    </row>
    <row r="484" spans="3:3" ht="15.75" customHeight="1" x14ac:dyDescent="0.3">
      <c r="C484" s="2"/>
    </row>
    <row r="485" spans="3:3" ht="15.75" customHeight="1" x14ac:dyDescent="0.3">
      <c r="C485" s="2"/>
    </row>
    <row r="486" spans="3:3" ht="15.75" customHeight="1" x14ac:dyDescent="0.3">
      <c r="C486" s="2"/>
    </row>
    <row r="487" spans="3:3" ht="15.75" customHeight="1" x14ac:dyDescent="0.3">
      <c r="C487" s="2"/>
    </row>
    <row r="488" spans="3:3" ht="15.75" customHeight="1" x14ac:dyDescent="0.3">
      <c r="C488" s="2"/>
    </row>
    <row r="489" spans="3:3" ht="15.75" customHeight="1" x14ac:dyDescent="0.3">
      <c r="C489" s="2"/>
    </row>
    <row r="490" spans="3:3" ht="15.75" customHeight="1" x14ac:dyDescent="0.3">
      <c r="C490" s="2"/>
    </row>
    <row r="491" spans="3:3" ht="15.75" customHeight="1" x14ac:dyDescent="0.3">
      <c r="C491" s="2"/>
    </row>
    <row r="492" spans="3:3" ht="15.75" customHeight="1" x14ac:dyDescent="0.3">
      <c r="C492" s="2"/>
    </row>
    <row r="493" spans="3:3" ht="15.75" customHeight="1" x14ac:dyDescent="0.3">
      <c r="C493" s="2"/>
    </row>
    <row r="494" spans="3:3" ht="15.75" customHeight="1" x14ac:dyDescent="0.3">
      <c r="C494" s="2"/>
    </row>
    <row r="495" spans="3:3" ht="15.75" customHeight="1" x14ac:dyDescent="0.3">
      <c r="C495" s="2"/>
    </row>
    <row r="496" spans="3:3" ht="15.75" customHeight="1" x14ac:dyDescent="0.3">
      <c r="C496" s="2"/>
    </row>
    <row r="497" spans="3:3" ht="15.75" customHeight="1" x14ac:dyDescent="0.3">
      <c r="C497" s="2"/>
    </row>
    <row r="498" spans="3:3" ht="15.75" customHeight="1" x14ac:dyDescent="0.3">
      <c r="C498" s="2"/>
    </row>
    <row r="499" spans="3:3" ht="15.75" customHeight="1" x14ac:dyDescent="0.3">
      <c r="C499" s="2"/>
    </row>
    <row r="500" spans="3:3" ht="15.75" customHeight="1" x14ac:dyDescent="0.3">
      <c r="C500" s="2"/>
    </row>
    <row r="501" spans="3:3" ht="15.75" customHeight="1" x14ac:dyDescent="0.3">
      <c r="C501" s="2"/>
    </row>
    <row r="502" spans="3:3" ht="15.75" customHeight="1" x14ac:dyDescent="0.3">
      <c r="C502" s="2"/>
    </row>
    <row r="503" spans="3:3" ht="15.75" customHeight="1" x14ac:dyDescent="0.3">
      <c r="C503" s="2"/>
    </row>
    <row r="504" spans="3:3" ht="15.75" customHeight="1" x14ac:dyDescent="0.3">
      <c r="C504" s="2"/>
    </row>
    <row r="505" spans="3:3" ht="15.75" customHeight="1" x14ac:dyDescent="0.3">
      <c r="C505" s="2"/>
    </row>
    <row r="506" spans="3:3" ht="15.75" customHeight="1" x14ac:dyDescent="0.3">
      <c r="C506" s="2"/>
    </row>
    <row r="507" spans="3:3" ht="15.75" customHeight="1" x14ac:dyDescent="0.3">
      <c r="C507" s="2"/>
    </row>
    <row r="508" spans="3:3" ht="15.75" customHeight="1" x14ac:dyDescent="0.3">
      <c r="C508" s="2"/>
    </row>
    <row r="509" spans="3:3" ht="15.75" customHeight="1" x14ac:dyDescent="0.3">
      <c r="C509" s="2"/>
    </row>
    <row r="510" spans="3:3" ht="15.75" customHeight="1" x14ac:dyDescent="0.3">
      <c r="C510" s="2"/>
    </row>
    <row r="511" spans="3:3" ht="15.75" customHeight="1" x14ac:dyDescent="0.3">
      <c r="C511" s="2"/>
    </row>
    <row r="512" spans="3:3" ht="15.75" customHeight="1" x14ac:dyDescent="0.3">
      <c r="C512" s="2"/>
    </row>
    <row r="513" spans="3:3" ht="15.75" customHeight="1" x14ac:dyDescent="0.3">
      <c r="C513" s="2"/>
    </row>
    <row r="514" spans="3:3" ht="15.75" customHeight="1" x14ac:dyDescent="0.3">
      <c r="C514" s="2"/>
    </row>
    <row r="515" spans="3:3" ht="15.75" customHeight="1" x14ac:dyDescent="0.3">
      <c r="C515" s="2"/>
    </row>
    <row r="516" spans="3:3" ht="15.75" customHeight="1" x14ac:dyDescent="0.3">
      <c r="C516" s="2"/>
    </row>
    <row r="517" spans="3:3" ht="15.75" customHeight="1" x14ac:dyDescent="0.3">
      <c r="C517" s="2"/>
    </row>
    <row r="518" spans="3:3" ht="15.75" customHeight="1" x14ac:dyDescent="0.3">
      <c r="C518" s="2"/>
    </row>
    <row r="519" spans="3:3" ht="15.75" customHeight="1" x14ac:dyDescent="0.3">
      <c r="C519" s="2"/>
    </row>
    <row r="520" spans="3:3" ht="15.75" customHeight="1" x14ac:dyDescent="0.3">
      <c r="C520" s="2"/>
    </row>
    <row r="521" spans="3:3" ht="15.75" customHeight="1" x14ac:dyDescent="0.3">
      <c r="C521" s="2"/>
    </row>
    <row r="522" spans="3:3" ht="15.75" customHeight="1" x14ac:dyDescent="0.3">
      <c r="C522" s="2"/>
    </row>
    <row r="523" spans="3:3" ht="15.75" customHeight="1" x14ac:dyDescent="0.3">
      <c r="C523" s="2"/>
    </row>
    <row r="524" spans="3:3" ht="15.75" customHeight="1" x14ac:dyDescent="0.3">
      <c r="C524" s="2"/>
    </row>
    <row r="525" spans="3:3" ht="15.75" customHeight="1" x14ac:dyDescent="0.3">
      <c r="C525" s="2"/>
    </row>
    <row r="526" spans="3:3" ht="15.75" customHeight="1" x14ac:dyDescent="0.3">
      <c r="C526" s="2"/>
    </row>
    <row r="527" spans="3:3" ht="15.75" customHeight="1" x14ac:dyDescent="0.3">
      <c r="C527" s="2"/>
    </row>
    <row r="528" spans="3:3" ht="15.75" customHeight="1" x14ac:dyDescent="0.3">
      <c r="C528" s="2"/>
    </row>
    <row r="529" spans="3:3" ht="15.75" customHeight="1" x14ac:dyDescent="0.3">
      <c r="C529" s="2"/>
    </row>
    <row r="530" spans="3:3" ht="15.75" customHeight="1" x14ac:dyDescent="0.3">
      <c r="C530" s="2"/>
    </row>
    <row r="531" spans="3:3" ht="15.75" customHeight="1" x14ac:dyDescent="0.3">
      <c r="C531" s="2"/>
    </row>
    <row r="532" spans="3:3" ht="15.75" customHeight="1" x14ac:dyDescent="0.3">
      <c r="C532" s="2"/>
    </row>
    <row r="533" spans="3:3" ht="15.75" customHeight="1" x14ac:dyDescent="0.3">
      <c r="C533" s="2"/>
    </row>
    <row r="534" spans="3:3" ht="15.75" customHeight="1" x14ac:dyDescent="0.3">
      <c r="C534" s="2"/>
    </row>
    <row r="535" spans="3:3" ht="15.75" customHeight="1" x14ac:dyDescent="0.3">
      <c r="C535" s="2"/>
    </row>
    <row r="536" spans="3:3" ht="15.75" customHeight="1" x14ac:dyDescent="0.3">
      <c r="C536" s="2"/>
    </row>
    <row r="537" spans="3:3" ht="15.75" customHeight="1" x14ac:dyDescent="0.3">
      <c r="C537" s="2"/>
    </row>
    <row r="538" spans="3:3" ht="15.75" customHeight="1" x14ac:dyDescent="0.3">
      <c r="C538" s="2"/>
    </row>
    <row r="539" spans="3:3" ht="15.75" customHeight="1" x14ac:dyDescent="0.3">
      <c r="C539" s="2"/>
    </row>
    <row r="540" spans="3:3" ht="15.75" customHeight="1" x14ac:dyDescent="0.3">
      <c r="C540" s="2"/>
    </row>
    <row r="541" spans="3:3" ht="15.75" customHeight="1" x14ac:dyDescent="0.3">
      <c r="C541" s="2"/>
    </row>
    <row r="542" spans="3:3" ht="15.75" customHeight="1" x14ac:dyDescent="0.3">
      <c r="C542" s="2"/>
    </row>
    <row r="543" spans="3:3" ht="15.75" customHeight="1" x14ac:dyDescent="0.3">
      <c r="C543" s="2"/>
    </row>
    <row r="544" spans="3:3" ht="15.75" customHeight="1" x14ac:dyDescent="0.3">
      <c r="C544" s="2"/>
    </row>
    <row r="545" spans="3:3" ht="15.75" customHeight="1" x14ac:dyDescent="0.3">
      <c r="C545" s="2"/>
    </row>
    <row r="546" spans="3:3" ht="15.75" customHeight="1" x14ac:dyDescent="0.3">
      <c r="C546" s="2"/>
    </row>
    <row r="547" spans="3:3" ht="15.75" customHeight="1" x14ac:dyDescent="0.3">
      <c r="C547" s="2"/>
    </row>
    <row r="548" spans="3:3" ht="15.75" customHeight="1" x14ac:dyDescent="0.3">
      <c r="C548" s="2"/>
    </row>
    <row r="549" spans="3:3" ht="15.75" customHeight="1" x14ac:dyDescent="0.3">
      <c r="C549" s="2"/>
    </row>
    <row r="550" spans="3:3" ht="15.75" customHeight="1" x14ac:dyDescent="0.3">
      <c r="C550" s="2"/>
    </row>
    <row r="551" spans="3:3" ht="15.75" customHeight="1" x14ac:dyDescent="0.3">
      <c r="C551" s="2"/>
    </row>
    <row r="552" spans="3:3" ht="15.75" customHeight="1" x14ac:dyDescent="0.3">
      <c r="C552" s="2"/>
    </row>
    <row r="553" spans="3:3" ht="15.75" customHeight="1" x14ac:dyDescent="0.3">
      <c r="C553" s="2"/>
    </row>
    <row r="554" spans="3:3" ht="15.75" customHeight="1" x14ac:dyDescent="0.3">
      <c r="C554" s="2"/>
    </row>
    <row r="555" spans="3:3" ht="15.75" customHeight="1" x14ac:dyDescent="0.3">
      <c r="C555" s="2"/>
    </row>
    <row r="556" spans="3:3" ht="15.75" customHeight="1" x14ac:dyDescent="0.3">
      <c r="C556" s="2"/>
    </row>
    <row r="557" spans="3:3" ht="15.75" customHeight="1" x14ac:dyDescent="0.3">
      <c r="C557" s="2"/>
    </row>
    <row r="558" spans="3:3" ht="15.75" customHeight="1" x14ac:dyDescent="0.3">
      <c r="C558" s="2"/>
    </row>
    <row r="559" spans="3:3" ht="15.75" customHeight="1" x14ac:dyDescent="0.3">
      <c r="C559" s="2"/>
    </row>
    <row r="560" spans="3:3" ht="15.75" customHeight="1" x14ac:dyDescent="0.3">
      <c r="C560" s="2"/>
    </row>
    <row r="561" spans="3:3" ht="15.75" customHeight="1" x14ac:dyDescent="0.3">
      <c r="C561" s="2"/>
    </row>
    <row r="562" spans="3:3" ht="15.75" customHeight="1" x14ac:dyDescent="0.3">
      <c r="C562" s="2"/>
    </row>
    <row r="563" spans="3:3" ht="15.75" customHeight="1" x14ac:dyDescent="0.3">
      <c r="C563" s="2"/>
    </row>
    <row r="564" spans="3:3" ht="15.75" customHeight="1" x14ac:dyDescent="0.3">
      <c r="C564" s="2"/>
    </row>
    <row r="565" spans="3:3" ht="15.75" customHeight="1" x14ac:dyDescent="0.3">
      <c r="C565" s="2"/>
    </row>
    <row r="566" spans="3:3" ht="15.75" customHeight="1" x14ac:dyDescent="0.3">
      <c r="C566" s="2"/>
    </row>
    <row r="567" spans="3:3" ht="15.75" customHeight="1" x14ac:dyDescent="0.3">
      <c r="C567" s="2"/>
    </row>
    <row r="568" spans="3:3" ht="15.75" customHeight="1" x14ac:dyDescent="0.3">
      <c r="C568" s="2"/>
    </row>
    <row r="569" spans="3:3" ht="15.75" customHeight="1" x14ac:dyDescent="0.3">
      <c r="C569" s="2"/>
    </row>
    <row r="570" spans="3:3" ht="15.75" customHeight="1" x14ac:dyDescent="0.3">
      <c r="C570" s="2"/>
    </row>
    <row r="571" spans="3:3" ht="15.75" customHeight="1" x14ac:dyDescent="0.3">
      <c r="C571" s="2"/>
    </row>
    <row r="572" spans="3:3" ht="15.75" customHeight="1" x14ac:dyDescent="0.3">
      <c r="C572" s="2"/>
    </row>
    <row r="573" spans="3:3" ht="15.75" customHeight="1" x14ac:dyDescent="0.3">
      <c r="C573" s="2"/>
    </row>
    <row r="574" spans="3:3" ht="15.75" customHeight="1" x14ac:dyDescent="0.3">
      <c r="C574" s="2"/>
    </row>
    <row r="575" spans="3:3" ht="15.75" customHeight="1" x14ac:dyDescent="0.3">
      <c r="C575" s="2"/>
    </row>
    <row r="576" spans="3:3" ht="15.75" customHeight="1" x14ac:dyDescent="0.3">
      <c r="C576" s="2"/>
    </row>
    <row r="577" spans="3:3" ht="15.75" customHeight="1" x14ac:dyDescent="0.3">
      <c r="C577" s="2"/>
    </row>
    <row r="578" spans="3:3" ht="15.75" customHeight="1" x14ac:dyDescent="0.3">
      <c r="C578" s="2"/>
    </row>
    <row r="579" spans="3:3" ht="15.75" customHeight="1" x14ac:dyDescent="0.3">
      <c r="C579" s="2"/>
    </row>
    <row r="580" spans="3:3" ht="15.75" customHeight="1" x14ac:dyDescent="0.3">
      <c r="C580" s="2"/>
    </row>
    <row r="581" spans="3:3" ht="15.75" customHeight="1" x14ac:dyDescent="0.3">
      <c r="C581" s="2"/>
    </row>
    <row r="582" spans="3:3" ht="15.75" customHeight="1" x14ac:dyDescent="0.3">
      <c r="C582" s="2"/>
    </row>
    <row r="583" spans="3:3" ht="15.75" customHeight="1" x14ac:dyDescent="0.3">
      <c r="C583" s="2"/>
    </row>
    <row r="584" spans="3:3" ht="15.75" customHeight="1" x14ac:dyDescent="0.3">
      <c r="C584" s="2"/>
    </row>
    <row r="585" spans="3:3" ht="15.75" customHeight="1" x14ac:dyDescent="0.3">
      <c r="C585" s="2"/>
    </row>
    <row r="586" spans="3:3" ht="15.75" customHeight="1" x14ac:dyDescent="0.3">
      <c r="C586" s="2"/>
    </row>
    <row r="587" spans="3:3" ht="15.75" customHeight="1" x14ac:dyDescent="0.3">
      <c r="C587" s="2"/>
    </row>
    <row r="588" spans="3:3" ht="15.75" customHeight="1" x14ac:dyDescent="0.3">
      <c r="C588" s="2"/>
    </row>
    <row r="589" spans="3:3" ht="15.75" customHeight="1" x14ac:dyDescent="0.3">
      <c r="C589" s="2"/>
    </row>
    <row r="590" spans="3:3" ht="15.75" customHeight="1" x14ac:dyDescent="0.3">
      <c r="C590" s="2"/>
    </row>
    <row r="591" spans="3:3" ht="15.75" customHeight="1" x14ac:dyDescent="0.3">
      <c r="C591" s="2"/>
    </row>
    <row r="592" spans="3:3" ht="15.75" customHeight="1" x14ac:dyDescent="0.3">
      <c r="C592" s="2"/>
    </row>
    <row r="593" spans="3:3" ht="15.75" customHeight="1" x14ac:dyDescent="0.3">
      <c r="C593" s="2"/>
    </row>
    <row r="594" spans="3:3" ht="15.75" customHeight="1" x14ac:dyDescent="0.3">
      <c r="C594" s="2"/>
    </row>
    <row r="595" spans="3:3" ht="15.75" customHeight="1" x14ac:dyDescent="0.3">
      <c r="C595" s="2"/>
    </row>
    <row r="596" spans="3:3" ht="15.75" customHeight="1" x14ac:dyDescent="0.3">
      <c r="C596" s="2"/>
    </row>
    <row r="597" spans="3:3" ht="15.75" customHeight="1" x14ac:dyDescent="0.3">
      <c r="C597" s="2"/>
    </row>
    <row r="598" spans="3:3" ht="15.75" customHeight="1" x14ac:dyDescent="0.3">
      <c r="C598" s="2"/>
    </row>
    <row r="599" spans="3:3" ht="15.75" customHeight="1" x14ac:dyDescent="0.3">
      <c r="C599" s="2"/>
    </row>
    <row r="600" spans="3:3" ht="15.75" customHeight="1" x14ac:dyDescent="0.3">
      <c r="C600" s="2"/>
    </row>
    <row r="601" spans="3:3" ht="15.75" customHeight="1" x14ac:dyDescent="0.3">
      <c r="C601" s="2"/>
    </row>
    <row r="602" spans="3:3" ht="15.75" customHeight="1" x14ac:dyDescent="0.3">
      <c r="C602" s="2"/>
    </row>
    <row r="603" spans="3:3" ht="15.75" customHeight="1" x14ac:dyDescent="0.3">
      <c r="C603" s="2"/>
    </row>
    <row r="604" spans="3:3" ht="15.75" customHeight="1" x14ac:dyDescent="0.3">
      <c r="C604" s="2"/>
    </row>
    <row r="605" spans="3:3" ht="15.75" customHeight="1" x14ac:dyDescent="0.3">
      <c r="C605" s="2"/>
    </row>
    <row r="606" spans="3:3" ht="15.75" customHeight="1" x14ac:dyDescent="0.3">
      <c r="C606" s="2"/>
    </row>
    <row r="607" spans="3:3" ht="15.75" customHeight="1" x14ac:dyDescent="0.3">
      <c r="C607" s="2"/>
    </row>
    <row r="608" spans="3:3" ht="15.75" customHeight="1" x14ac:dyDescent="0.3">
      <c r="C608" s="2"/>
    </row>
    <row r="609" spans="3:3" ht="15.75" customHeight="1" x14ac:dyDescent="0.3">
      <c r="C609" s="2"/>
    </row>
    <row r="610" spans="3:3" ht="15.75" customHeight="1" x14ac:dyDescent="0.3">
      <c r="C610" s="2"/>
    </row>
    <row r="611" spans="3:3" ht="15.75" customHeight="1" x14ac:dyDescent="0.3">
      <c r="C611" s="2"/>
    </row>
    <row r="612" spans="3:3" ht="15.75" customHeight="1" x14ac:dyDescent="0.3">
      <c r="C612" s="2"/>
    </row>
    <row r="613" spans="3:3" ht="15.75" customHeight="1" x14ac:dyDescent="0.3">
      <c r="C613" s="2"/>
    </row>
    <row r="614" spans="3:3" ht="15.75" customHeight="1" x14ac:dyDescent="0.3">
      <c r="C614" s="2"/>
    </row>
    <row r="615" spans="3:3" ht="15.75" customHeight="1" x14ac:dyDescent="0.3">
      <c r="C615" s="2"/>
    </row>
    <row r="616" spans="3:3" ht="15.75" customHeight="1" x14ac:dyDescent="0.3">
      <c r="C616" s="2"/>
    </row>
    <row r="617" spans="3:3" ht="15.75" customHeight="1" x14ac:dyDescent="0.3">
      <c r="C617" s="2"/>
    </row>
    <row r="618" spans="3:3" ht="15.75" customHeight="1" x14ac:dyDescent="0.3">
      <c r="C618" s="2"/>
    </row>
    <row r="619" spans="3:3" ht="15.75" customHeight="1" x14ac:dyDescent="0.3">
      <c r="C619" s="2"/>
    </row>
    <row r="620" spans="3:3" ht="15.75" customHeight="1" x14ac:dyDescent="0.3">
      <c r="C620" s="2"/>
    </row>
    <row r="621" spans="3:3" ht="15.75" customHeight="1" x14ac:dyDescent="0.3">
      <c r="C621" s="2"/>
    </row>
    <row r="622" spans="3:3" ht="15.75" customHeight="1" x14ac:dyDescent="0.3">
      <c r="C622" s="2"/>
    </row>
    <row r="623" spans="3:3" ht="15.75" customHeight="1" x14ac:dyDescent="0.3">
      <c r="C623" s="2"/>
    </row>
    <row r="624" spans="3:3" ht="15.75" customHeight="1" x14ac:dyDescent="0.3">
      <c r="C624" s="2"/>
    </row>
    <row r="625" spans="3:3" ht="15.75" customHeight="1" x14ac:dyDescent="0.3">
      <c r="C625" s="2"/>
    </row>
    <row r="626" spans="3:3" ht="15.75" customHeight="1" x14ac:dyDescent="0.3">
      <c r="C626" s="2"/>
    </row>
    <row r="627" spans="3:3" ht="15.75" customHeight="1" x14ac:dyDescent="0.3">
      <c r="C627" s="2"/>
    </row>
    <row r="628" spans="3:3" ht="15.75" customHeight="1" x14ac:dyDescent="0.3">
      <c r="C628" s="2"/>
    </row>
    <row r="629" spans="3:3" ht="15.75" customHeight="1" x14ac:dyDescent="0.3">
      <c r="C629" s="2"/>
    </row>
    <row r="630" spans="3:3" ht="15.75" customHeight="1" x14ac:dyDescent="0.3">
      <c r="C630" s="2"/>
    </row>
    <row r="631" spans="3:3" ht="15.75" customHeight="1" x14ac:dyDescent="0.3">
      <c r="C631" s="2"/>
    </row>
    <row r="632" spans="3:3" ht="15.75" customHeight="1" x14ac:dyDescent="0.3">
      <c r="C632" s="2"/>
    </row>
    <row r="633" spans="3:3" ht="15.75" customHeight="1" x14ac:dyDescent="0.3">
      <c r="C633" s="2"/>
    </row>
    <row r="634" spans="3:3" ht="15.75" customHeight="1" x14ac:dyDescent="0.3">
      <c r="C634" s="2"/>
    </row>
    <row r="635" spans="3:3" ht="15.75" customHeight="1" x14ac:dyDescent="0.3">
      <c r="C635" s="2"/>
    </row>
    <row r="636" spans="3:3" ht="15.75" customHeight="1" x14ac:dyDescent="0.3">
      <c r="C636" s="2"/>
    </row>
    <row r="637" spans="3:3" ht="15.75" customHeight="1" x14ac:dyDescent="0.3">
      <c r="C637" s="2"/>
    </row>
    <row r="638" spans="3:3" ht="15.75" customHeight="1" x14ac:dyDescent="0.3">
      <c r="C638" s="2"/>
    </row>
    <row r="639" spans="3:3" ht="15.75" customHeight="1" x14ac:dyDescent="0.3">
      <c r="C639" s="2"/>
    </row>
    <row r="640" spans="3:3" ht="15.75" customHeight="1" x14ac:dyDescent="0.3">
      <c r="C640" s="2"/>
    </row>
    <row r="641" spans="3:3" ht="15.75" customHeight="1" x14ac:dyDescent="0.3">
      <c r="C641" s="2"/>
    </row>
    <row r="642" spans="3:3" ht="15.75" customHeight="1" x14ac:dyDescent="0.3">
      <c r="C642" s="2"/>
    </row>
    <row r="643" spans="3:3" ht="15.75" customHeight="1" x14ac:dyDescent="0.3">
      <c r="C643" s="2"/>
    </row>
    <row r="644" spans="3:3" ht="15.75" customHeight="1" x14ac:dyDescent="0.3">
      <c r="C644" s="2"/>
    </row>
    <row r="645" spans="3:3" ht="15.75" customHeight="1" x14ac:dyDescent="0.3">
      <c r="C645" s="2"/>
    </row>
    <row r="646" spans="3:3" ht="15.75" customHeight="1" x14ac:dyDescent="0.3">
      <c r="C646" s="2"/>
    </row>
    <row r="647" spans="3:3" ht="15.75" customHeight="1" x14ac:dyDescent="0.3">
      <c r="C647" s="2"/>
    </row>
    <row r="648" spans="3:3" ht="15.75" customHeight="1" x14ac:dyDescent="0.3">
      <c r="C648" s="2"/>
    </row>
    <row r="649" spans="3:3" ht="15.75" customHeight="1" x14ac:dyDescent="0.3">
      <c r="C649" s="2"/>
    </row>
    <row r="650" spans="3:3" ht="15.75" customHeight="1" x14ac:dyDescent="0.3">
      <c r="C650" s="2"/>
    </row>
    <row r="651" spans="3:3" ht="15.75" customHeight="1" x14ac:dyDescent="0.3">
      <c r="C651" s="2"/>
    </row>
    <row r="652" spans="3:3" ht="15.75" customHeight="1" x14ac:dyDescent="0.3">
      <c r="C652" s="2"/>
    </row>
    <row r="653" spans="3:3" ht="15.75" customHeight="1" x14ac:dyDescent="0.3">
      <c r="C653" s="2"/>
    </row>
    <row r="654" spans="3:3" ht="15.75" customHeight="1" x14ac:dyDescent="0.3">
      <c r="C654" s="2"/>
    </row>
    <row r="655" spans="3:3" ht="15.75" customHeight="1" x14ac:dyDescent="0.3">
      <c r="C655" s="2"/>
    </row>
    <row r="656" spans="3:3" ht="15.75" customHeight="1" x14ac:dyDescent="0.3">
      <c r="C656" s="2"/>
    </row>
    <row r="657" spans="3:3" ht="15.75" customHeight="1" x14ac:dyDescent="0.3">
      <c r="C657" s="2"/>
    </row>
    <row r="658" spans="3:3" ht="15.75" customHeight="1" x14ac:dyDescent="0.3">
      <c r="C658" s="2"/>
    </row>
    <row r="659" spans="3:3" ht="15.75" customHeight="1" x14ac:dyDescent="0.3">
      <c r="C659" s="2"/>
    </row>
    <row r="660" spans="3:3" ht="15.75" customHeight="1" x14ac:dyDescent="0.3">
      <c r="C660" s="2"/>
    </row>
    <row r="661" spans="3:3" ht="15.75" customHeight="1" x14ac:dyDescent="0.3">
      <c r="C661" s="2"/>
    </row>
    <row r="662" spans="3:3" ht="15.75" customHeight="1" x14ac:dyDescent="0.3">
      <c r="C662" s="2"/>
    </row>
    <row r="663" spans="3:3" ht="15.75" customHeight="1" x14ac:dyDescent="0.3">
      <c r="C663" s="2"/>
    </row>
    <row r="664" spans="3:3" ht="15.75" customHeight="1" x14ac:dyDescent="0.3">
      <c r="C664" s="2"/>
    </row>
    <row r="665" spans="3:3" ht="15.75" customHeight="1" x14ac:dyDescent="0.3">
      <c r="C665" s="2"/>
    </row>
    <row r="666" spans="3:3" ht="15.75" customHeight="1" x14ac:dyDescent="0.3">
      <c r="C666" s="2"/>
    </row>
    <row r="667" spans="3:3" ht="15.75" customHeight="1" x14ac:dyDescent="0.3">
      <c r="C667" s="2"/>
    </row>
    <row r="668" spans="3:3" ht="15.75" customHeight="1" x14ac:dyDescent="0.3">
      <c r="C668" s="2"/>
    </row>
    <row r="669" spans="3:3" ht="15.75" customHeight="1" x14ac:dyDescent="0.3">
      <c r="C669" s="2"/>
    </row>
    <row r="670" spans="3:3" ht="15.75" customHeight="1" x14ac:dyDescent="0.3">
      <c r="C670" s="2"/>
    </row>
    <row r="671" spans="3:3" ht="15.75" customHeight="1" x14ac:dyDescent="0.3">
      <c r="C671" s="2"/>
    </row>
    <row r="672" spans="3:3" ht="15.75" customHeight="1" x14ac:dyDescent="0.3">
      <c r="C672" s="2"/>
    </row>
    <row r="673" spans="3:3" ht="15.75" customHeight="1" x14ac:dyDescent="0.3">
      <c r="C673" s="2"/>
    </row>
    <row r="674" spans="3:3" ht="15.75" customHeight="1" x14ac:dyDescent="0.3">
      <c r="C674" s="2"/>
    </row>
    <row r="675" spans="3:3" ht="15.75" customHeight="1" x14ac:dyDescent="0.3">
      <c r="C675" s="2"/>
    </row>
    <row r="676" spans="3:3" ht="15.75" customHeight="1" x14ac:dyDescent="0.3">
      <c r="C676" s="2"/>
    </row>
    <row r="677" spans="3:3" ht="15.75" customHeight="1" x14ac:dyDescent="0.3">
      <c r="C677" s="2"/>
    </row>
    <row r="678" spans="3:3" ht="15.75" customHeight="1" x14ac:dyDescent="0.3">
      <c r="C678" s="2"/>
    </row>
    <row r="679" spans="3:3" ht="15.75" customHeight="1" x14ac:dyDescent="0.3">
      <c r="C679" s="2"/>
    </row>
    <row r="680" spans="3:3" ht="15.75" customHeight="1" x14ac:dyDescent="0.3">
      <c r="C680" s="2"/>
    </row>
    <row r="681" spans="3:3" ht="15.75" customHeight="1" x14ac:dyDescent="0.3">
      <c r="C681" s="2"/>
    </row>
    <row r="682" spans="3:3" ht="15.75" customHeight="1" x14ac:dyDescent="0.3">
      <c r="C682" s="2"/>
    </row>
    <row r="683" spans="3:3" ht="15.75" customHeight="1" x14ac:dyDescent="0.3">
      <c r="C683" s="2"/>
    </row>
    <row r="684" spans="3:3" ht="15.75" customHeight="1" x14ac:dyDescent="0.3">
      <c r="C684" s="2"/>
    </row>
    <row r="685" spans="3:3" ht="15.75" customHeight="1" x14ac:dyDescent="0.3">
      <c r="C685" s="2"/>
    </row>
    <row r="686" spans="3:3" ht="15.75" customHeight="1" x14ac:dyDescent="0.3">
      <c r="C686" s="2"/>
    </row>
    <row r="687" spans="3:3" ht="15.75" customHeight="1" x14ac:dyDescent="0.3">
      <c r="C687" s="2"/>
    </row>
    <row r="688" spans="3:3" ht="15.75" customHeight="1" x14ac:dyDescent="0.3">
      <c r="C688" s="2"/>
    </row>
    <row r="689" spans="3:3" ht="15.75" customHeight="1" x14ac:dyDescent="0.3">
      <c r="C689" s="2"/>
    </row>
    <row r="690" spans="3:3" ht="15.75" customHeight="1" x14ac:dyDescent="0.3">
      <c r="C690" s="2"/>
    </row>
    <row r="691" spans="3:3" ht="15.75" customHeight="1" x14ac:dyDescent="0.3">
      <c r="C691" s="2"/>
    </row>
    <row r="692" spans="3:3" ht="15.75" customHeight="1" x14ac:dyDescent="0.3">
      <c r="C692" s="2"/>
    </row>
    <row r="693" spans="3:3" ht="15.75" customHeight="1" x14ac:dyDescent="0.3">
      <c r="C693" s="2"/>
    </row>
    <row r="694" spans="3:3" ht="15.75" customHeight="1" x14ac:dyDescent="0.3">
      <c r="C694" s="2"/>
    </row>
    <row r="695" spans="3:3" ht="15.75" customHeight="1" x14ac:dyDescent="0.3">
      <c r="C695" s="2"/>
    </row>
    <row r="696" spans="3:3" ht="15.75" customHeight="1" x14ac:dyDescent="0.3">
      <c r="C696" s="2"/>
    </row>
    <row r="697" spans="3:3" ht="15.75" customHeight="1" x14ac:dyDescent="0.3">
      <c r="C697" s="2"/>
    </row>
    <row r="698" spans="3:3" ht="15.75" customHeight="1" x14ac:dyDescent="0.3">
      <c r="C698" s="2"/>
    </row>
    <row r="699" spans="3:3" ht="15.75" customHeight="1" x14ac:dyDescent="0.3">
      <c r="C699" s="2"/>
    </row>
    <row r="700" spans="3:3" ht="15.75" customHeight="1" x14ac:dyDescent="0.3">
      <c r="C700" s="2"/>
    </row>
    <row r="701" spans="3:3" ht="15.75" customHeight="1" x14ac:dyDescent="0.3">
      <c r="C701" s="2"/>
    </row>
    <row r="702" spans="3:3" ht="15.75" customHeight="1" x14ac:dyDescent="0.3">
      <c r="C702" s="2"/>
    </row>
    <row r="703" spans="3:3" ht="15.75" customHeight="1" x14ac:dyDescent="0.3">
      <c r="C703" s="2"/>
    </row>
    <row r="704" spans="3:3" ht="15.75" customHeight="1" x14ac:dyDescent="0.3">
      <c r="C704" s="2"/>
    </row>
    <row r="705" spans="3:3" ht="15.75" customHeight="1" x14ac:dyDescent="0.3">
      <c r="C705" s="2"/>
    </row>
    <row r="706" spans="3:3" ht="15.75" customHeight="1" x14ac:dyDescent="0.3">
      <c r="C706" s="2"/>
    </row>
    <row r="707" spans="3:3" ht="15.75" customHeight="1" x14ac:dyDescent="0.3">
      <c r="C707" s="2"/>
    </row>
    <row r="708" spans="3:3" ht="15.75" customHeight="1" x14ac:dyDescent="0.3">
      <c r="C708" s="2"/>
    </row>
    <row r="709" spans="3:3" ht="15.75" customHeight="1" x14ac:dyDescent="0.3">
      <c r="C709" s="2"/>
    </row>
    <row r="710" spans="3:3" ht="15.75" customHeight="1" x14ac:dyDescent="0.3">
      <c r="C710" s="2"/>
    </row>
    <row r="711" spans="3:3" ht="15.75" customHeight="1" x14ac:dyDescent="0.3">
      <c r="C711" s="2"/>
    </row>
    <row r="712" spans="3:3" ht="15.75" customHeight="1" x14ac:dyDescent="0.3">
      <c r="C712" s="2"/>
    </row>
    <row r="713" spans="3:3" ht="15.75" customHeight="1" x14ac:dyDescent="0.3">
      <c r="C713" s="2"/>
    </row>
    <row r="714" spans="3:3" ht="15.75" customHeight="1" x14ac:dyDescent="0.3">
      <c r="C714" s="2"/>
    </row>
    <row r="715" spans="3:3" ht="15.75" customHeight="1" x14ac:dyDescent="0.3">
      <c r="C715" s="2"/>
    </row>
    <row r="716" spans="3:3" ht="15.75" customHeight="1" x14ac:dyDescent="0.3">
      <c r="C716" s="2"/>
    </row>
    <row r="717" spans="3:3" ht="15.75" customHeight="1" x14ac:dyDescent="0.3">
      <c r="C717" s="2"/>
    </row>
    <row r="718" spans="3:3" ht="15.75" customHeight="1" x14ac:dyDescent="0.3">
      <c r="C718" s="2"/>
    </row>
    <row r="719" spans="3:3" ht="15.75" customHeight="1" x14ac:dyDescent="0.3">
      <c r="C719" s="2"/>
    </row>
    <row r="720" spans="3:3" ht="15.75" customHeight="1" x14ac:dyDescent="0.3">
      <c r="C720" s="2"/>
    </row>
    <row r="721" spans="3:3" ht="15.75" customHeight="1" x14ac:dyDescent="0.3">
      <c r="C721" s="2"/>
    </row>
    <row r="722" spans="3:3" ht="15.75" customHeight="1" x14ac:dyDescent="0.3">
      <c r="C722" s="2"/>
    </row>
    <row r="723" spans="3:3" ht="15.75" customHeight="1" x14ac:dyDescent="0.3">
      <c r="C723" s="2"/>
    </row>
    <row r="724" spans="3:3" ht="15.75" customHeight="1" x14ac:dyDescent="0.3">
      <c r="C724" s="2"/>
    </row>
    <row r="725" spans="3:3" ht="15.75" customHeight="1" x14ac:dyDescent="0.3">
      <c r="C725" s="2"/>
    </row>
    <row r="726" spans="3:3" ht="15.75" customHeight="1" x14ac:dyDescent="0.3">
      <c r="C726" s="2"/>
    </row>
    <row r="727" spans="3:3" ht="15.75" customHeight="1" x14ac:dyDescent="0.3">
      <c r="C727" s="2"/>
    </row>
    <row r="728" spans="3:3" ht="15.75" customHeight="1" x14ac:dyDescent="0.3">
      <c r="C728" s="2"/>
    </row>
    <row r="729" spans="3:3" ht="15.75" customHeight="1" x14ac:dyDescent="0.3">
      <c r="C729" s="2"/>
    </row>
    <row r="730" spans="3:3" ht="15.75" customHeight="1" x14ac:dyDescent="0.3">
      <c r="C730" s="2"/>
    </row>
    <row r="731" spans="3:3" ht="15.75" customHeight="1" x14ac:dyDescent="0.3">
      <c r="C731" s="2"/>
    </row>
    <row r="732" spans="3:3" ht="15.75" customHeight="1" x14ac:dyDescent="0.3">
      <c r="C732" s="2"/>
    </row>
    <row r="733" spans="3:3" ht="15.75" customHeight="1" x14ac:dyDescent="0.3">
      <c r="C733" s="2"/>
    </row>
    <row r="734" spans="3:3" ht="15.75" customHeight="1" x14ac:dyDescent="0.3">
      <c r="C734" s="2"/>
    </row>
    <row r="735" spans="3:3" ht="15.75" customHeight="1" x14ac:dyDescent="0.3">
      <c r="C735" s="2"/>
    </row>
    <row r="736" spans="3:3" ht="15.75" customHeight="1" x14ac:dyDescent="0.3">
      <c r="C736" s="2"/>
    </row>
    <row r="737" spans="3:3" ht="15.75" customHeight="1" x14ac:dyDescent="0.3">
      <c r="C737" s="2"/>
    </row>
    <row r="738" spans="3:3" ht="15.75" customHeight="1" x14ac:dyDescent="0.3">
      <c r="C738" s="2"/>
    </row>
    <row r="739" spans="3:3" ht="15.75" customHeight="1" x14ac:dyDescent="0.3">
      <c r="C739" s="2"/>
    </row>
    <row r="740" spans="3:3" ht="15.75" customHeight="1" x14ac:dyDescent="0.3">
      <c r="C740" s="2"/>
    </row>
    <row r="741" spans="3:3" ht="15.75" customHeight="1" x14ac:dyDescent="0.3">
      <c r="C741" s="2"/>
    </row>
    <row r="742" spans="3:3" ht="15.75" customHeight="1" x14ac:dyDescent="0.3">
      <c r="C742" s="2"/>
    </row>
    <row r="743" spans="3:3" ht="15.75" customHeight="1" x14ac:dyDescent="0.3">
      <c r="C743" s="2"/>
    </row>
    <row r="744" spans="3:3" ht="15.75" customHeight="1" x14ac:dyDescent="0.3">
      <c r="C744" s="2"/>
    </row>
    <row r="745" spans="3:3" ht="15.75" customHeight="1" x14ac:dyDescent="0.3">
      <c r="C745" s="2"/>
    </row>
    <row r="746" spans="3:3" ht="15.75" customHeight="1" x14ac:dyDescent="0.3">
      <c r="C746" s="2"/>
    </row>
    <row r="747" spans="3:3" ht="15.75" customHeight="1" x14ac:dyDescent="0.3">
      <c r="C747" s="2"/>
    </row>
    <row r="748" spans="3:3" ht="15.75" customHeight="1" x14ac:dyDescent="0.3">
      <c r="C748" s="2"/>
    </row>
    <row r="749" spans="3:3" ht="15.75" customHeight="1" x14ac:dyDescent="0.3">
      <c r="C749" s="2"/>
    </row>
    <row r="750" spans="3:3" ht="15.75" customHeight="1" x14ac:dyDescent="0.3">
      <c r="C750" s="2"/>
    </row>
    <row r="751" spans="3:3" ht="15.75" customHeight="1" x14ac:dyDescent="0.3">
      <c r="C751" s="2"/>
    </row>
    <row r="752" spans="3:3" ht="15.75" customHeight="1" x14ac:dyDescent="0.3">
      <c r="C752" s="2"/>
    </row>
    <row r="753" spans="3:3" ht="15.75" customHeight="1" x14ac:dyDescent="0.3">
      <c r="C753" s="2"/>
    </row>
    <row r="754" spans="3:3" ht="15.75" customHeight="1" x14ac:dyDescent="0.3">
      <c r="C754" s="2"/>
    </row>
    <row r="755" spans="3:3" ht="15.75" customHeight="1" x14ac:dyDescent="0.3">
      <c r="C755" s="2"/>
    </row>
    <row r="756" spans="3:3" ht="15.75" customHeight="1" x14ac:dyDescent="0.3">
      <c r="C756" s="2"/>
    </row>
    <row r="757" spans="3:3" ht="15.75" customHeight="1" x14ac:dyDescent="0.3">
      <c r="C757" s="2"/>
    </row>
    <row r="758" spans="3:3" ht="15.75" customHeight="1" x14ac:dyDescent="0.3">
      <c r="C758" s="2"/>
    </row>
    <row r="759" spans="3:3" ht="15.75" customHeight="1" x14ac:dyDescent="0.3">
      <c r="C759" s="2"/>
    </row>
    <row r="760" spans="3:3" ht="15.75" customHeight="1" x14ac:dyDescent="0.3">
      <c r="C760" s="2"/>
    </row>
    <row r="761" spans="3:3" ht="15.75" customHeight="1" x14ac:dyDescent="0.3">
      <c r="C761" s="2"/>
    </row>
    <row r="762" spans="3:3" ht="15.75" customHeight="1" x14ac:dyDescent="0.3">
      <c r="C762" s="2"/>
    </row>
    <row r="763" spans="3:3" ht="15.75" customHeight="1" x14ac:dyDescent="0.3">
      <c r="C763" s="2"/>
    </row>
    <row r="764" spans="3:3" ht="15.75" customHeight="1" x14ac:dyDescent="0.3">
      <c r="C764" s="2"/>
    </row>
    <row r="765" spans="3:3" ht="15.75" customHeight="1" x14ac:dyDescent="0.3">
      <c r="C765" s="2"/>
    </row>
    <row r="766" spans="3:3" ht="15.75" customHeight="1" x14ac:dyDescent="0.3">
      <c r="C766" s="2"/>
    </row>
    <row r="767" spans="3:3" ht="15.75" customHeight="1" x14ac:dyDescent="0.3">
      <c r="C767" s="2"/>
    </row>
    <row r="768" spans="3:3" ht="15.75" customHeight="1" x14ac:dyDescent="0.3">
      <c r="C768" s="2"/>
    </row>
    <row r="769" spans="3:3" ht="15.75" customHeight="1" x14ac:dyDescent="0.3">
      <c r="C769" s="2"/>
    </row>
    <row r="770" spans="3:3" ht="15.75" customHeight="1" x14ac:dyDescent="0.3">
      <c r="C770" s="2"/>
    </row>
    <row r="771" spans="3:3" ht="15.75" customHeight="1" x14ac:dyDescent="0.3">
      <c r="C771" s="2"/>
    </row>
    <row r="772" spans="3:3" ht="15.75" customHeight="1" x14ac:dyDescent="0.3">
      <c r="C772" s="2"/>
    </row>
    <row r="773" spans="3:3" ht="15.75" customHeight="1" x14ac:dyDescent="0.3">
      <c r="C773" s="2"/>
    </row>
    <row r="774" spans="3:3" ht="15.75" customHeight="1" x14ac:dyDescent="0.3">
      <c r="C774" s="2"/>
    </row>
    <row r="775" spans="3:3" ht="15.75" customHeight="1" x14ac:dyDescent="0.3">
      <c r="C775" s="2"/>
    </row>
    <row r="776" spans="3:3" ht="15.75" customHeight="1" x14ac:dyDescent="0.3">
      <c r="C776" s="2"/>
    </row>
    <row r="777" spans="3:3" ht="15.75" customHeight="1" x14ac:dyDescent="0.3">
      <c r="C777" s="2"/>
    </row>
    <row r="778" spans="3:3" ht="15.75" customHeight="1" x14ac:dyDescent="0.3">
      <c r="C778" s="2"/>
    </row>
    <row r="779" spans="3:3" ht="15.75" customHeight="1" x14ac:dyDescent="0.3">
      <c r="C779" s="2"/>
    </row>
    <row r="780" spans="3:3" ht="15.75" customHeight="1" x14ac:dyDescent="0.3">
      <c r="C780" s="2"/>
    </row>
    <row r="781" spans="3:3" ht="15.75" customHeight="1" x14ac:dyDescent="0.3">
      <c r="C781" s="2"/>
    </row>
    <row r="782" spans="3:3" ht="15.75" customHeight="1" x14ac:dyDescent="0.3">
      <c r="C782" s="2"/>
    </row>
    <row r="783" spans="3:3" ht="15.75" customHeight="1" x14ac:dyDescent="0.3">
      <c r="C783" s="2"/>
    </row>
    <row r="784" spans="3:3" ht="15.75" customHeight="1" x14ac:dyDescent="0.3">
      <c r="C784" s="2"/>
    </row>
    <row r="785" spans="3:3" ht="15.75" customHeight="1" x14ac:dyDescent="0.3">
      <c r="C785" s="2"/>
    </row>
    <row r="786" spans="3:3" ht="15.75" customHeight="1" x14ac:dyDescent="0.3">
      <c r="C786" s="2"/>
    </row>
    <row r="787" spans="3:3" ht="15.75" customHeight="1" x14ac:dyDescent="0.3">
      <c r="C787" s="2"/>
    </row>
    <row r="788" spans="3:3" ht="15.75" customHeight="1" x14ac:dyDescent="0.3">
      <c r="C788" s="2"/>
    </row>
    <row r="789" spans="3:3" ht="15.75" customHeight="1" x14ac:dyDescent="0.3">
      <c r="C789" s="2"/>
    </row>
    <row r="790" spans="3:3" ht="15.75" customHeight="1" x14ac:dyDescent="0.3">
      <c r="C790" s="2"/>
    </row>
    <row r="791" spans="3:3" ht="15.75" customHeight="1" x14ac:dyDescent="0.3">
      <c r="C791" s="2"/>
    </row>
    <row r="792" spans="3:3" ht="15.75" customHeight="1" x14ac:dyDescent="0.3">
      <c r="C792" s="2"/>
    </row>
    <row r="793" spans="3:3" ht="15.75" customHeight="1" x14ac:dyDescent="0.3">
      <c r="C793" s="2"/>
    </row>
    <row r="794" spans="3:3" ht="15.75" customHeight="1" x14ac:dyDescent="0.3">
      <c r="C794" s="2"/>
    </row>
    <row r="795" spans="3:3" ht="15.75" customHeight="1" x14ac:dyDescent="0.3">
      <c r="C795" s="2"/>
    </row>
    <row r="796" spans="3:3" ht="15.75" customHeight="1" x14ac:dyDescent="0.3">
      <c r="C796" s="2"/>
    </row>
    <row r="797" spans="3:3" ht="15.75" customHeight="1" x14ac:dyDescent="0.3">
      <c r="C797" s="2"/>
    </row>
    <row r="798" spans="3:3" ht="15.75" customHeight="1" x14ac:dyDescent="0.3">
      <c r="C798" s="2"/>
    </row>
    <row r="799" spans="3:3" ht="15.75" customHeight="1" x14ac:dyDescent="0.3">
      <c r="C799" s="2"/>
    </row>
    <row r="800" spans="3:3" ht="15.75" customHeight="1" x14ac:dyDescent="0.3">
      <c r="C800" s="2"/>
    </row>
    <row r="801" spans="3:3" ht="15.75" customHeight="1" x14ac:dyDescent="0.3">
      <c r="C801" s="2"/>
    </row>
    <row r="802" spans="3:3" ht="15.75" customHeight="1" x14ac:dyDescent="0.3">
      <c r="C802" s="2"/>
    </row>
    <row r="803" spans="3:3" ht="15.75" customHeight="1" x14ac:dyDescent="0.3">
      <c r="C803" s="2"/>
    </row>
    <row r="804" spans="3:3" ht="15.75" customHeight="1" x14ac:dyDescent="0.3">
      <c r="C804" s="2"/>
    </row>
    <row r="805" spans="3:3" ht="15.75" customHeight="1" x14ac:dyDescent="0.3">
      <c r="C805" s="2"/>
    </row>
    <row r="806" spans="3:3" ht="15.75" customHeight="1" x14ac:dyDescent="0.3">
      <c r="C806" s="2"/>
    </row>
    <row r="807" spans="3:3" ht="15.75" customHeight="1" x14ac:dyDescent="0.3">
      <c r="C807" s="2"/>
    </row>
    <row r="808" spans="3:3" ht="15.75" customHeight="1" x14ac:dyDescent="0.3">
      <c r="C808" s="2"/>
    </row>
    <row r="809" spans="3:3" ht="15.75" customHeight="1" x14ac:dyDescent="0.3">
      <c r="C809" s="2"/>
    </row>
    <row r="810" spans="3:3" ht="15.75" customHeight="1" x14ac:dyDescent="0.3">
      <c r="C810" s="2"/>
    </row>
    <row r="811" spans="3:3" ht="15.75" customHeight="1" x14ac:dyDescent="0.3">
      <c r="C811" s="2"/>
    </row>
    <row r="812" spans="3:3" ht="15.75" customHeight="1" x14ac:dyDescent="0.3">
      <c r="C812" s="2"/>
    </row>
    <row r="813" spans="3:3" ht="15.75" customHeight="1" x14ac:dyDescent="0.3">
      <c r="C813" s="2"/>
    </row>
    <row r="814" spans="3:3" ht="15.75" customHeight="1" x14ac:dyDescent="0.3">
      <c r="C814" s="2"/>
    </row>
    <row r="815" spans="3:3" ht="15.75" customHeight="1" x14ac:dyDescent="0.3">
      <c r="C815" s="2"/>
    </row>
    <row r="816" spans="3:3" ht="15.75" customHeight="1" x14ac:dyDescent="0.3">
      <c r="C816" s="2"/>
    </row>
    <row r="817" spans="3:3" ht="15.75" customHeight="1" x14ac:dyDescent="0.3">
      <c r="C817" s="2"/>
    </row>
    <row r="818" spans="3:3" ht="15.75" customHeight="1" x14ac:dyDescent="0.3">
      <c r="C818" s="2"/>
    </row>
    <row r="819" spans="3:3" ht="15.75" customHeight="1" x14ac:dyDescent="0.3">
      <c r="C819" s="2"/>
    </row>
    <row r="820" spans="3:3" ht="15.75" customHeight="1" x14ac:dyDescent="0.3">
      <c r="C820" s="2"/>
    </row>
    <row r="821" spans="3:3" ht="15.75" customHeight="1" x14ac:dyDescent="0.3">
      <c r="C821" s="2"/>
    </row>
    <row r="822" spans="3:3" ht="15.75" customHeight="1" x14ac:dyDescent="0.3">
      <c r="C822" s="2"/>
    </row>
    <row r="823" spans="3:3" ht="15.75" customHeight="1" x14ac:dyDescent="0.3">
      <c r="C823" s="2"/>
    </row>
    <row r="824" spans="3:3" ht="15.75" customHeight="1" x14ac:dyDescent="0.3">
      <c r="C824" s="2"/>
    </row>
    <row r="825" spans="3:3" ht="15.75" customHeight="1" x14ac:dyDescent="0.3">
      <c r="C825" s="2"/>
    </row>
    <row r="826" spans="3:3" ht="15.75" customHeight="1" x14ac:dyDescent="0.3">
      <c r="C826" s="2"/>
    </row>
    <row r="827" spans="3:3" ht="15.75" customHeight="1" x14ac:dyDescent="0.3">
      <c r="C827" s="2"/>
    </row>
    <row r="828" spans="3:3" ht="15.75" customHeight="1" x14ac:dyDescent="0.3">
      <c r="C828" s="2"/>
    </row>
    <row r="829" spans="3:3" ht="15.75" customHeight="1" x14ac:dyDescent="0.3">
      <c r="C829" s="2"/>
    </row>
    <row r="830" spans="3:3" ht="15.75" customHeight="1" x14ac:dyDescent="0.3">
      <c r="C830" s="2"/>
    </row>
    <row r="831" spans="3:3" ht="15.75" customHeight="1" x14ac:dyDescent="0.3">
      <c r="C831" s="2"/>
    </row>
    <row r="832" spans="3:3" ht="15.75" customHeight="1" x14ac:dyDescent="0.3">
      <c r="C832" s="2"/>
    </row>
    <row r="833" spans="3:3" ht="15.75" customHeight="1" x14ac:dyDescent="0.3">
      <c r="C833" s="2"/>
    </row>
    <row r="834" spans="3:3" ht="15.75" customHeight="1" x14ac:dyDescent="0.3">
      <c r="C834" s="2"/>
    </row>
    <row r="835" spans="3:3" ht="15.75" customHeight="1" x14ac:dyDescent="0.3">
      <c r="C835" s="2"/>
    </row>
    <row r="836" spans="3:3" ht="15.75" customHeight="1" x14ac:dyDescent="0.3">
      <c r="C836" s="2"/>
    </row>
    <row r="837" spans="3:3" ht="15.75" customHeight="1" x14ac:dyDescent="0.3">
      <c r="C837" s="2"/>
    </row>
    <row r="838" spans="3:3" ht="15.75" customHeight="1" x14ac:dyDescent="0.3">
      <c r="C838" s="2"/>
    </row>
    <row r="839" spans="3:3" ht="15.75" customHeight="1" x14ac:dyDescent="0.3">
      <c r="C839" s="2"/>
    </row>
    <row r="840" spans="3:3" ht="15.75" customHeight="1" x14ac:dyDescent="0.3">
      <c r="C840" s="2"/>
    </row>
    <row r="841" spans="3:3" ht="15.75" customHeight="1" x14ac:dyDescent="0.3">
      <c r="C841" s="2"/>
    </row>
    <row r="842" spans="3:3" ht="15.75" customHeight="1" x14ac:dyDescent="0.3">
      <c r="C842" s="2"/>
    </row>
    <row r="843" spans="3:3" ht="15.75" customHeight="1" x14ac:dyDescent="0.3">
      <c r="C843" s="2"/>
    </row>
    <row r="844" spans="3:3" ht="15.75" customHeight="1" x14ac:dyDescent="0.3">
      <c r="C844" s="2"/>
    </row>
    <row r="845" spans="3:3" ht="15.75" customHeight="1" x14ac:dyDescent="0.3">
      <c r="C845" s="2"/>
    </row>
    <row r="846" spans="3:3" ht="15.75" customHeight="1" x14ac:dyDescent="0.3">
      <c r="C846" s="2"/>
    </row>
    <row r="847" spans="3:3" ht="15.75" customHeight="1" x14ac:dyDescent="0.3">
      <c r="C847" s="2"/>
    </row>
    <row r="848" spans="3:3" ht="15.75" customHeight="1" x14ac:dyDescent="0.3">
      <c r="C848" s="2"/>
    </row>
    <row r="849" spans="3:3" ht="15.75" customHeight="1" x14ac:dyDescent="0.3">
      <c r="C849" s="2"/>
    </row>
    <row r="850" spans="3:3" ht="15.75" customHeight="1" x14ac:dyDescent="0.3">
      <c r="C850" s="2"/>
    </row>
    <row r="851" spans="3:3" ht="15.75" customHeight="1" x14ac:dyDescent="0.3">
      <c r="C851" s="2"/>
    </row>
    <row r="852" spans="3:3" ht="15.75" customHeight="1" x14ac:dyDescent="0.3">
      <c r="C852" s="2"/>
    </row>
    <row r="853" spans="3:3" ht="15.75" customHeight="1" x14ac:dyDescent="0.3">
      <c r="C853" s="2"/>
    </row>
    <row r="854" spans="3:3" ht="15.75" customHeight="1" x14ac:dyDescent="0.3">
      <c r="C854" s="2"/>
    </row>
    <row r="855" spans="3:3" ht="15.75" customHeight="1" x14ac:dyDescent="0.3">
      <c r="C855" s="2"/>
    </row>
    <row r="856" spans="3:3" ht="15.75" customHeight="1" x14ac:dyDescent="0.3">
      <c r="C856" s="2"/>
    </row>
    <row r="857" spans="3:3" ht="15.75" customHeight="1" x14ac:dyDescent="0.3">
      <c r="C857" s="2"/>
    </row>
    <row r="858" spans="3:3" ht="15.75" customHeight="1" x14ac:dyDescent="0.3">
      <c r="C858" s="2"/>
    </row>
    <row r="859" spans="3:3" ht="15.75" customHeight="1" x14ac:dyDescent="0.3">
      <c r="C859" s="2"/>
    </row>
    <row r="860" spans="3:3" ht="15.75" customHeight="1" x14ac:dyDescent="0.3">
      <c r="C860" s="2"/>
    </row>
    <row r="861" spans="3:3" ht="15.75" customHeight="1" x14ac:dyDescent="0.3">
      <c r="C861" s="2"/>
    </row>
    <row r="862" spans="3:3" ht="15.75" customHeight="1" x14ac:dyDescent="0.3">
      <c r="C862" s="2"/>
    </row>
    <row r="863" spans="3:3" ht="15.75" customHeight="1" x14ac:dyDescent="0.3">
      <c r="C863" s="2"/>
    </row>
    <row r="864" spans="3:3" ht="15.75" customHeight="1" x14ac:dyDescent="0.3">
      <c r="C864" s="2"/>
    </row>
    <row r="865" spans="3:3" ht="15.75" customHeight="1" x14ac:dyDescent="0.3">
      <c r="C865" s="2"/>
    </row>
    <row r="866" spans="3:3" ht="15.75" customHeight="1" x14ac:dyDescent="0.3">
      <c r="C866" s="2"/>
    </row>
    <row r="867" spans="3:3" ht="15.75" customHeight="1" x14ac:dyDescent="0.3">
      <c r="C867" s="2"/>
    </row>
    <row r="868" spans="3:3" ht="15.75" customHeight="1" x14ac:dyDescent="0.3">
      <c r="C868" s="2"/>
    </row>
    <row r="869" spans="3:3" ht="15.75" customHeight="1" x14ac:dyDescent="0.3">
      <c r="C869" s="2"/>
    </row>
    <row r="870" spans="3:3" ht="15.75" customHeight="1" x14ac:dyDescent="0.3">
      <c r="C870" s="2"/>
    </row>
    <row r="871" spans="3:3" ht="15.75" customHeight="1" x14ac:dyDescent="0.3">
      <c r="C871" s="2"/>
    </row>
    <row r="872" spans="3:3" ht="15.75" customHeight="1" x14ac:dyDescent="0.3">
      <c r="C872" s="2"/>
    </row>
    <row r="873" spans="3:3" ht="15.75" customHeight="1" x14ac:dyDescent="0.3">
      <c r="C873" s="2"/>
    </row>
    <row r="874" spans="3:3" ht="15.75" customHeight="1" x14ac:dyDescent="0.3">
      <c r="C874" s="2"/>
    </row>
    <row r="875" spans="3:3" ht="15.75" customHeight="1" x14ac:dyDescent="0.3">
      <c r="C875" s="2"/>
    </row>
    <row r="876" spans="3:3" ht="15.75" customHeight="1" x14ac:dyDescent="0.3">
      <c r="C876" s="2"/>
    </row>
    <row r="877" spans="3:3" ht="15.75" customHeight="1" x14ac:dyDescent="0.3">
      <c r="C877" s="2"/>
    </row>
    <row r="878" spans="3:3" ht="15.75" customHeight="1" x14ac:dyDescent="0.3">
      <c r="C878" s="2"/>
    </row>
    <row r="879" spans="3:3" ht="15.75" customHeight="1" x14ac:dyDescent="0.3">
      <c r="C879" s="2"/>
    </row>
    <row r="880" spans="3:3" ht="15.75" customHeight="1" x14ac:dyDescent="0.3">
      <c r="C880" s="2"/>
    </row>
    <row r="881" spans="3:3" ht="15.75" customHeight="1" x14ac:dyDescent="0.3">
      <c r="C881" s="2"/>
    </row>
    <row r="882" spans="3:3" ht="15.75" customHeight="1" x14ac:dyDescent="0.3">
      <c r="C882" s="2"/>
    </row>
    <row r="883" spans="3:3" ht="15.75" customHeight="1" x14ac:dyDescent="0.3">
      <c r="C883" s="2"/>
    </row>
    <row r="884" spans="3:3" ht="15.75" customHeight="1" x14ac:dyDescent="0.3">
      <c r="C884" s="2"/>
    </row>
    <row r="885" spans="3:3" ht="15.75" customHeight="1" x14ac:dyDescent="0.3">
      <c r="C885" s="2"/>
    </row>
    <row r="886" spans="3:3" ht="15.75" customHeight="1" x14ac:dyDescent="0.3">
      <c r="C886" s="2"/>
    </row>
    <row r="887" spans="3:3" ht="15.75" customHeight="1" x14ac:dyDescent="0.3">
      <c r="C887" s="2"/>
    </row>
    <row r="888" spans="3:3" ht="15.75" customHeight="1" x14ac:dyDescent="0.3">
      <c r="C888" s="2"/>
    </row>
    <row r="889" spans="3:3" ht="15.75" customHeight="1" x14ac:dyDescent="0.3">
      <c r="C889" s="2"/>
    </row>
    <row r="890" spans="3:3" ht="15.75" customHeight="1" x14ac:dyDescent="0.3">
      <c r="C890" s="2"/>
    </row>
    <row r="891" spans="3:3" ht="15.75" customHeight="1" x14ac:dyDescent="0.3">
      <c r="C891" s="2"/>
    </row>
    <row r="892" spans="3:3" ht="15.75" customHeight="1" x14ac:dyDescent="0.3">
      <c r="C892" s="2"/>
    </row>
    <row r="893" spans="3:3" ht="15.75" customHeight="1" x14ac:dyDescent="0.3">
      <c r="C893" s="2"/>
    </row>
    <row r="894" spans="3:3" ht="15.75" customHeight="1" x14ac:dyDescent="0.3">
      <c r="C894" s="2"/>
    </row>
    <row r="895" spans="3:3" ht="15.75" customHeight="1" x14ac:dyDescent="0.3">
      <c r="C895" s="2"/>
    </row>
    <row r="896" spans="3:3" ht="15.75" customHeight="1" x14ac:dyDescent="0.3">
      <c r="C896" s="2"/>
    </row>
    <row r="897" spans="3:3" ht="15.75" customHeight="1" x14ac:dyDescent="0.3">
      <c r="C897" s="2"/>
    </row>
    <row r="898" spans="3:3" ht="15.75" customHeight="1" x14ac:dyDescent="0.3">
      <c r="C898" s="2"/>
    </row>
    <row r="899" spans="3:3" ht="15.75" customHeight="1" x14ac:dyDescent="0.3">
      <c r="C899" s="2"/>
    </row>
    <row r="900" spans="3:3" ht="15.75" customHeight="1" x14ac:dyDescent="0.3">
      <c r="C900" s="2"/>
    </row>
    <row r="901" spans="3:3" ht="15.75" customHeight="1" x14ac:dyDescent="0.3">
      <c r="C901" s="2"/>
    </row>
    <row r="902" spans="3:3" ht="15.75" customHeight="1" x14ac:dyDescent="0.3">
      <c r="C902" s="2"/>
    </row>
    <row r="903" spans="3:3" ht="15.75" customHeight="1" x14ac:dyDescent="0.3">
      <c r="C903" s="2"/>
    </row>
    <row r="904" spans="3:3" ht="15.75" customHeight="1" x14ac:dyDescent="0.3">
      <c r="C904" s="2"/>
    </row>
    <row r="905" spans="3:3" ht="15.75" customHeight="1" x14ac:dyDescent="0.3">
      <c r="C905" s="2"/>
    </row>
    <row r="906" spans="3:3" ht="15.75" customHeight="1" x14ac:dyDescent="0.3">
      <c r="C906" s="2"/>
    </row>
    <row r="907" spans="3:3" ht="15.75" customHeight="1" x14ac:dyDescent="0.3">
      <c r="C907" s="2"/>
    </row>
    <row r="908" spans="3:3" ht="15.75" customHeight="1" x14ac:dyDescent="0.3">
      <c r="C908" s="2"/>
    </row>
    <row r="909" spans="3:3" ht="15.75" customHeight="1" x14ac:dyDescent="0.3">
      <c r="C909" s="2"/>
    </row>
    <row r="910" spans="3:3" ht="15.75" customHeight="1" x14ac:dyDescent="0.3">
      <c r="C910" s="2"/>
    </row>
    <row r="911" spans="3:3" ht="15.75" customHeight="1" x14ac:dyDescent="0.3">
      <c r="C911" s="2"/>
    </row>
    <row r="912" spans="3:3" ht="15.75" customHeight="1" x14ac:dyDescent="0.3">
      <c r="C912" s="2"/>
    </row>
    <row r="913" spans="3:3" ht="15.75" customHeight="1" x14ac:dyDescent="0.3">
      <c r="C913" s="2"/>
    </row>
    <row r="914" spans="3:3" ht="15.75" customHeight="1" x14ac:dyDescent="0.3">
      <c r="C914" s="2"/>
    </row>
    <row r="915" spans="3:3" ht="15.75" customHeight="1" x14ac:dyDescent="0.3">
      <c r="C915" s="2"/>
    </row>
    <row r="916" spans="3:3" ht="15.75" customHeight="1" x14ac:dyDescent="0.3">
      <c r="C916" s="2"/>
    </row>
    <row r="917" spans="3:3" ht="15.75" customHeight="1" x14ac:dyDescent="0.3">
      <c r="C917" s="2"/>
    </row>
    <row r="918" spans="3:3" ht="15.75" customHeight="1" x14ac:dyDescent="0.3">
      <c r="C918" s="2"/>
    </row>
    <row r="919" spans="3:3" ht="15.75" customHeight="1" x14ac:dyDescent="0.3">
      <c r="C919" s="2"/>
    </row>
    <row r="920" spans="3:3" ht="15.75" customHeight="1" x14ac:dyDescent="0.3">
      <c r="C920" s="2"/>
    </row>
    <row r="921" spans="3:3" ht="15.75" customHeight="1" x14ac:dyDescent="0.3">
      <c r="C921" s="2"/>
    </row>
    <row r="922" spans="3:3" ht="15.75" customHeight="1" x14ac:dyDescent="0.3">
      <c r="C922" s="2"/>
    </row>
    <row r="923" spans="3:3" ht="15.75" customHeight="1" x14ac:dyDescent="0.3">
      <c r="C923" s="2"/>
    </row>
    <row r="924" spans="3:3" ht="15.75" customHeight="1" x14ac:dyDescent="0.3">
      <c r="C924" s="2"/>
    </row>
    <row r="925" spans="3:3" ht="15.75" customHeight="1" x14ac:dyDescent="0.3">
      <c r="C925" s="2"/>
    </row>
    <row r="926" spans="3:3" ht="15.75" customHeight="1" x14ac:dyDescent="0.3">
      <c r="C926" s="2"/>
    </row>
    <row r="927" spans="3:3" ht="15.75" customHeight="1" x14ac:dyDescent="0.3">
      <c r="C927" s="2"/>
    </row>
    <row r="928" spans="3:3" ht="15.75" customHeight="1" x14ac:dyDescent="0.3">
      <c r="C928" s="2"/>
    </row>
    <row r="929" spans="3:3" ht="15.75" customHeight="1" x14ac:dyDescent="0.3">
      <c r="C929" s="2"/>
    </row>
    <row r="930" spans="3:3" ht="15.75" customHeight="1" x14ac:dyDescent="0.3">
      <c r="C930" s="2"/>
    </row>
    <row r="931" spans="3:3" ht="15.75" customHeight="1" x14ac:dyDescent="0.3">
      <c r="C931" s="2"/>
    </row>
    <row r="932" spans="3:3" ht="15.75" customHeight="1" x14ac:dyDescent="0.3">
      <c r="C932" s="2"/>
    </row>
    <row r="933" spans="3:3" ht="15.75" customHeight="1" x14ac:dyDescent="0.3">
      <c r="C933" s="2"/>
    </row>
    <row r="934" spans="3:3" ht="15.75" customHeight="1" x14ac:dyDescent="0.3">
      <c r="C934" s="2"/>
    </row>
    <row r="935" spans="3:3" ht="15.75" customHeight="1" x14ac:dyDescent="0.3">
      <c r="C935" s="2"/>
    </row>
    <row r="936" spans="3:3" ht="15.75" customHeight="1" x14ac:dyDescent="0.3">
      <c r="C936" s="2"/>
    </row>
    <row r="937" spans="3:3" ht="15.75" customHeight="1" x14ac:dyDescent="0.3">
      <c r="C937" s="2"/>
    </row>
    <row r="938" spans="3:3" ht="15.75" customHeight="1" x14ac:dyDescent="0.3">
      <c r="C938" s="2"/>
    </row>
    <row r="939" spans="3:3" ht="15.75" customHeight="1" x14ac:dyDescent="0.3">
      <c r="C939" s="2"/>
    </row>
    <row r="940" spans="3:3" ht="15.75" customHeight="1" x14ac:dyDescent="0.3">
      <c r="C940" s="2"/>
    </row>
    <row r="941" spans="3:3" ht="15.75" customHeight="1" x14ac:dyDescent="0.3">
      <c r="C941" s="2"/>
    </row>
    <row r="942" spans="3:3" ht="15.75" customHeight="1" x14ac:dyDescent="0.3">
      <c r="C942" s="2"/>
    </row>
    <row r="943" spans="3:3" ht="15.75" customHeight="1" x14ac:dyDescent="0.3">
      <c r="C943" s="2"/>
    </row>
    <row r="944" spans="3:3" ht="15.75" customHeight="1" x14ac:dyDescent="0.3">
      <c r="C944" s="2"/>
    </row>
    <row r="945" spans="3:3" ht="15.75" customHeight="1" x14ac:dyDescent="0.3">
      <c r="C945" s="2"/>
    </row>
    <row r="946" spans="3:3" ht="15.75" customHeight="1" x14ac:dyDescent="0.3">
      <c r="C946" s="2"/>
    </row>
    <row r="947" spans="3:3" ht="15.75" customHeight="1" x14ac:dyDescent="0.3">
      <c r="C947" s="2"/>
    </row>
    <row r="948" spans="3:3" ht="15.75" customHeight="1" x14ac:dyDescent="0.3">
      <c r="C948" s="2"/>
    </row>
    <row r="949" spans="3:3" ht="15.75" customHeight="1" x14ac:dyDescent="0.3">
      <c r="C949" s="2"/>
    </row>
    <row r="950" spans="3:3" ht="15.75" customHeight="1" x14ac:dyDescent="0.3">
      <c r="C950" s="2"/>
    </row>
    <row r="951" spans="3:3" ht="15.75" customHeight="1" x14ac:dyDescent="0.3">
      <c r="C951" s="2"/>
    </row>
    <row r="952" spans="3:3" ht="15.75" customHeight="1" x14ac:dyDescent="0.3">
      <c r="C952" s="2"/>
    </row>
    <row r="953" spans="3:3" ht="15.75" customHeight="1" x14ac:dyDescent="0.3">
      <c r="C953" s="2"/>
    </row>
    <row r="954" spans="3:3" ht="15.75" customHeight="1" x14ac:dyDescent="0.3">
      <c r="C954" s="2"/>
    </row>
    <row r="955" spans="3:3" ht="15.75" customHeight="1" x14ac:dyDescent="0.3">
      <c r="C955" s="2"/>
    </row>
    <row r="956" spans="3:3" ht="15.75" customHeight="1" x14ac:dyDescent="0.3">
      <c r="C956" s="2"/>
    </row>
    <row r="957" spans="3:3" ht="15.75" customHeight="1" x14ac:dyDescent="0.3">
      <c r="C957" s="2"/>
    </row>
    <row r="958" spans="3:3" ht="15.75" customHeight="1" x14ac:dyDescent="0.3">
      <c r="C958" s="2"/>
    </row>
    <row r="959" spans="3:3" ht="15.75" customHeight="1" x14ac:dyDescent="0.3">
      <c r="C959" s="2"/>
    </row>
    <row r="960" spans="3:3" ht="15.75" customHeight="1" x14ac:dyDescent="0.3">
      <c r="C960" s="2"/>
    </row>
    <row r="961" spans="3:3" ht="15.75" customHeight="1" x14ac:dyDescent="0.3">
      <c r="C961" s="2"/>
    </row>
    <row r="962" spans="3:3" ht="15.75" customHeight="1" x14ac:dyDescent="0.3">
      <c r="C962" s="2"/>
    </row>
    <row r="963" spans="3:3" ht="15.75" customHeight="1" x14ac:dyDescent="0.3">
      <c r="C963" s="2"/>
    </row>
    <row r="964" spans="3:3" ht="15.75" customHeight="1" x14ac:dyDescent="0.3">
      <c r="C964" s="2"/>
    </row>
    <row r="965" spans="3:3" ht="15.75" customHeight="1" x14ac:dyDescent="0.3">
      <c r="C965" s="2"/>
    </row>
    <row r="966" spans="3:3" ht="15.75" customHeight="1" x14ac:dyDescent="0.3">
      <c r="C966" s="2"/>
    </row>
    <row r="967" spans="3:3" ht="15.75" customHeight="1" x14ac:dyDescent="0.3">
      <c r="C967" s="2"/>
    </row>
    <row r="968" spans="3:3" ht="15.75" customHeight="1" x14ac:dyDescent="0.3">
      <c r="C968" s="2"/>
    </row>
    <row r="969" spans="3:3" ht="15.75" customHeight="1" x14ac:dyDescent="0.3">
      <c r="C969" s="2"/>
    </row>
    <row r="970" spans="3:3" ht="15.75" customHeight="1" x14ac:dyDescent="0.3">
      <c r="C970" s="2"/>
    </row>
    <row r="971" spans="3:3" ht="15.75" customHeight="1" x14ac:dyDescent="0.3">
      <c r="C971" s="2"/>
    </row>
    <row r="972" spans="3:3" ht="15.75" customHeight="1" x14ac:dyDescent="0.3">
      <c r="C972" s="2"/>
    </row>
    <row r="973" spans="3:3" ht="15.75" customHeight="1" x14ac:dyDescent="0.3">
      <c r="C973" s="2"/>
    </row>
    <row r="974" spans="3:3" ht="15.75" customHeight="1" x14ac:dyDescent="0.3">
      <c r="C974" s="2"/>
    </row>
    <row r="975" spans="3:3" ht="15.75" customHeight="1" x14ac:dyDescent="0.3">
      <c r="C975" s="2"/>
    </row>
    <row r="976" spans="3:3" ht="15.75" customHeight="1" x14ac:dyDescent="0.3">
      <c r="C976" s="2"/>
    </row>
    <row r="977" spans="3:3" ht="15.75" customHeight="1" x14ac:dyDescent="0.3">
      <c r="C977" s="2"/>
    </row>
    <row r="978" spans="3:3" ht="15.75" customHeight="1" x14ac:dyDescent="0.3">
      <c r="C978" s="2"/>
    </row>
    <row r="979" spans="3:3" ht="15.75" customHeight="1" x14ac:dyDescent="0.3">
      <c r="C979" s="2"/>
    </row>
    <row r="980" spans="3:3" ht="15.75" customHeight="1" x14ac:dyDescent="0.3">
      <c r="C980" s="2"/>
    </row>
    <row r="981" spans="3:3" ht="15.75" customHeight="1" x14ac:dyDescent="0.3">
      <c r="C981" s="2"/>
    </row>
    <row r="982" spans="3:3" ht="15.75" customHeight="1" x14ac:dyDescent="0.3">
      <c r="C982" s="2"/>
    </row>
    <row r="983" spans="3:3" ht="15.75" customHeight="1" x14ac:dyDescent="0.3">
      <c r="C983" s="2"/>
    </row>
    <row r="984" spans="3:3" ht="15.75" customHeight="1" x14ac:dyDescent="0.3">
      <c r="C984" s="2"/>
    </row>
    <row r="985" spans="3:3" ht="15.75" customHeight="1" x14ac:dyDescent="0.3">
      <c r="C985" s="2"/>
    </row>
    <row r="986" spans="3:3" ht="15.75" customHeight="1" x14ac:dyDescent="0.3">
      <c r="C986" s="2"/>
    </row>
    <row r="987" spans="3:3" ht="15.75" customHeight="1" x14ac:dyDescent="0.3">
      <c r="C987" s="2"/>
    </row>
    <row r="988" spans="3:3" ht="15.75" customHeight="1" x14ac:dyDescent="0.3">
      <c r="C988" s="2"/>
    </row>
    <row r="989" spans="3:3" ht="15.75" customHeight="1" x14ac:dyDescent="0.3">
      <c r="C989" s="2"/>
    </row>
    <row r="990" spans="3:3" ht="15.75" customHeight="1" x14ac:dyDescent="0.3">
      <c r="C990" s="2"/>
    </row>
    <row r="991" spans="3:3" ht="15.75" customHeight="1" x14ac:dyDescent="0.3">
      <c r="C991" s="2"/>
    </row>
    <row r="992" spans="3:3" ht="15.75" customHeight="1" x14ac:dyDescent="0.3">
      <c r="C992" s="2"/>
    </row>
    <row r="993" spans="3:3" ht="15.75" customHeight="1" x14ac:dyDescent="0.3">
      <c r="C993" s="2"/>
    </row>
    <row r="994" spans="3:3" ht="15.75" customHeight="1" x14ac:dyDescent="0.3">
      <c r="C994" s="2"/>
    </row>
    <row r="995" spans="3:3" ht="15.75" customHeight="1" x14ac:dyDescent="0.3">
      <c r="C995" s="2"/>
    </row>
    <row r="996" spans="3:3" ht="15.75" customHeight="1" x14ac:dyDescent="0.3">
      <c r="C996" s="2"/>
    </row>
    <row r="997" spans="3:3" ht="15.75" customHeight="1" x14ac:dyDescent="0.3">
      <c r="C997" s="2"/>
    </row>
    <row r="998" spans="3:3" ht="15.75" customHeight="1" x14ac:dyDescent="0.3">
      <c r="C998" s="2"/>
    </row>
    <row r="999" spans="3:3" ht="15.75" customHeight="1" x14ac:dyDescent="0.3">
      <c r="C999" s="2"/>
    </row>
    <row r="1000" spans="3:3" ht="15.75" customHeight="1" x14ac:dyDescent="0.3">
      <c r="C1000" s="2"/>
    </row>
  </sheetData>
  <mergeCells count="2">
    <mergeCell ref="I9:J10"/>
    <mergeCell ref="I11:J11"/>
  </mergeCells>
  <conditionalFormatting sqref="E7:G10">
    <cfRule type="cellIs" dxfId="1" priority="1" operator="lessThan">
      <formula>300000</formula>
    </cfRule>
  </conditionalFormatting>
  <conditionalFormatting sqref="E7:G10">
    <cfRule type="cellIs" dxfId="0" priority="2" operator="greaterThan">
      <formula>400000</formula>
    </cfRule>
  </conditionalFormatting>
  <pageMargins left="0.25" right="0.25" top="0.75" bottom="0.75" header="0" footer="0"/>
  <pageSetup paperSize="9" fitToHeight="0" orientation="portrait"/>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workbookViewId="0"/>
  </sheetViews>
  <sheetFormatPr baseColWidth="10" defaultColWidth="12.6640625" defaultRowHeight="15" customHeight="1" x14ac:dyDescent="0.3"/>
  <cols>
    <col min="1" max="1" width="10.6640625" customWidth="1"/>
    <col min="2" max="2" width="12.21875" customWidth="1"/>
    <col min="3" max="3" width="15.6640625" customWidth="1"/>
    <col min="4" max="7" width="10.6640625" customWidth="1"/>
    <col min="8" max="8" width="84.77734375" customWidth="1"/>
    <col min="9" max="26" width="10.6640625" customWidth="1"/>
  </cols>
  <sheetData>
    <row r="1" spans="1:8" ht="14.4" x14ac:dyDescent="0.3">
      <c r="A1" s="3" t="s">
        <v>159</v>
      </c>
      <c r="B1" s="60"/>
    </row>
    <row r="2" spans="1:8" ht="14.4" x14ac:dyDescent="0.3">
      <c r="A2" s="3">
        <v>1</v>
      </c>
      <c r="B2" s="34">
        <v>49000</v>
      </c>
      <c r="C2" s="34">
        <v>49000</v>
      </c>
    </row>
    <row r="3" spans="1:8" ht="38.25" customHeight="1" x14ac:dyDescent="0.3">
      <c r="A3" s="3">
        <v>2</v>
      </c>
      <c r="B3" s="34">
        <v>129000</v>
      </c>
      <c r="C3" s="34">
        <f>4000+2000</f>
        <v>6000</v>
      </c>
      <c r="H3" s="4" t="s">
        <v>160</v>
      </c>
    </row>
    <row r="4" spans="1:8" ht="14.4" x14ac:dyDescent="0.3">
      <c r="A4" s="1" t="s">
        <v>161</v>
      </c>
      <c r="B4" s="34">
        <v>11000</v>
      </c>
      <c r="C4" s="34"/>
      <c r="H4" s="3" t="s">
        <v>162</v>
      </c>
    </row>
    <row r="5" spans="1:8" ht="14.4" x14ac:dyDescent="0.3">
      <c r="A5" s="1" t="s">
        <v>163</v>
      </c>
      <c r="B5" s="34">
        <v>30000</v>
      </c>
      <c r="C5" s="34"/>
    </row>
    <row r="6" spans="1:8" ht="14.4" x14ac:dyDescent="0.3">
      <c r="A6" s="3">
        <v>4</v>
      </c>
      <c r="B6" s="34">
        <v>18000</v>
      </c>
      <c r="C6" s="34">
        <v>10000</v>
      </c>
      <c r="H6" s="3" t="s">
        <v>164</v>
      </c>
    </row>
    <row r="7" spans="1:8" ht="14.4" x14ac:dyDescent="0.3">
      <c r="A7" s="3">
        <v>5</v>
      </c>
      <c r="B7" s="34">
        <v>69500</v>
      </c>
      <c r="C7" s="34">
        <f>24*400</f>
        <v>9600</v>
      </c>
      <c r="H7" s="3" t="s">
        <v>165</v>
      </c>
    </row>
    <row r="8" spans="1:8" ht="14.4" x14ac:dyDescent="0.3">
      <c r="A8" s="3">
        <v>6</v>
      </c>
      <c r="B8" s="34">
        <v>53000</v>
      </c>
      <c r="C8" s="34"/>
    </row>
    <row r="9" spans="1:8" ht="14.4" x14ac:dyDescent="0.3">
      <c r="A9" s="3">
        <v>7</v>
      </c>
      <c r="B9" s="34">
        <v>90000</v>
      </c>
      <c r="C9" s="34"/>
    </row>
    <row r="10" spans="1:8" ht="14.4" x14ac:dyDescent="0.3">
      <c r="A10" s="3">
        <v>8</v>
      </c>
      <c r="B10" s="34">
        <v>33000</v>
      </c>
      <c r="C10" s="34">
        <v>10000</v>
      </c>
      <c r="H10" s="3" t="s">
        <v>166</v>
      </c>
    </row>
    <row r="11" spans="1:8" ht="14.4" x14ac:dyDescent="0.3">
      <c r="A11" s="3">
        <v>9</v>
      </c>
      <c r="B11" s="34">
        <v>10500</v>
      </c>
      <c r="C11" s="34">
        <v>3000</v>
      </c>
      <c r="H11" s="3" t="s">
        <v>167</v>
      </c>
    </row>
    <row r="12" spans="1:8" ht="14.4" x14ac:dyDescent="0.3">
      <c r="A12" s="3">
        <v>10</v>
      </c>
      <c r="B12" s="34">
        <v>26500</v>
      </c>
      <c r="C12" s="34"/>
    </row>
    <row r="13" spans="1:8" ht="14.4" x14ac:dyDescent="0.3">
      <c r="A13" s="3">
        <v>11</v>
      </c>
      <c r="B13" s="116">
        <v>187000</v>
      </c>
      <c r="C13" s="34"/>
    </row>
    <row r="14" spans="1:8" ht="14.4" x14ac:dyDescent="0.3">
      <c r="A14" s="3">
        <v>12</v>
      </c>
      <c r="B14" s="103"/>
      <c r="C14" s="34"/>
    </row>
    <row r="15" spans="1:8" ht="14.4" x14ac:dyDescent="0.3">
      <c r="B15" s="34"/>
      <c r="C15" s="34"/>
    </row>
    <row r="17" spans="1:3" ht="14.4" x14ac:dyDescent="0.3">
      <c r="A17" s="3" t="s">
        <v>168</v>
      </c>
      <c r="B17" s="60">
        <f t="shared" ref="B17:C17" si="0">SUM(B2:B14)</f>
        <v>706500</v>
      </c>
      <c r="C17" s="60">
        <f t="shared" si="0"/>
        <v>87600</v>
      </c>
    </row>
    <row r="21" spans="1:3" ht="15.75" customHeight="1" x14ac:dyDescent="0.3"/>
    <row r="22" spans="1:3" ht="15.75" customHeight="1" x14ac:dyDescent="0.3"/>
    <row r="23" spans="1:3" ht="15.75" customHeight="1" x14ac:dyDescent="0.3">
      <c r="A23" s="3" t="s">
        <v>169</v>
      </c>
    </row>
    <row r="24" spans="1:3" ht="15.75" customHeight="1" x14ac:dyDescent="0.3">
      <c r="A24" s="3" t="s">
        <v>170</v>
      </c>
    </row>
    <row r="25" spans="1:3" ht="15.75" customHeight="1" x14ac:dyDescent="0.3">
      <c r="A25" s="3" t="s">
        <v>171</v>
      </c>
    </row>
    <row r="26" spans="1:3" ht="15.75" customHeight="1" x14ac:dyDescent="0.3"/>
    <row r="27" spans="1:3" ht="15.75" customHeight="1" x14ac:dyDescent="0.3"/>
    <row r="28" spans="1:3" ht="15.75" customHeight="1" x14ac:dyDescent="0.3"/>
    <row r="29" spans="1:3" ht="15.75" customHeight="1" x14ac:dyDescent="0.3"/>
    <row r="30" spans="1:3" ht="15.75" customHeight="1" x14ac:dyDescent="0.3"/>
    <row r="31" spans="1:3" ht="15.75" customHeight="1" x14ac:dyDescent="0.3"/>
    <row r="32" spans="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B13:B14"/>
  </mergeCells>
  <pageMargins left="0.7" right="0.7" top="0.75" bottom="0.75" header="0" footer="0"/>
  <pageSetup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6ac35d6-1358-4c48-9f11-c71e0bfd0537" xsi:nil="true"/>
    <lcf76f155ced4ddcb4097134ff3c332f xmlns="d91e6c71-115c-4ffd-832d-0cdb804ef50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6D11CEAB66C174CA9FB69B00939F2FF" ma:contentTypeVersion="16" ma:contentTypeDescription="Crée un document." ma:contentTypeScope="" ma:versionID="5b3927bb7eb34219114249121c58358f">
  <xsd:schema xmlns:xsd="http://www.w3.org/2001/XMLSchema" xmlns:xs="http://www.w3.org/2001/XMLSchema" xmlns:p="http://schemas.microsoft.com/office/2006/metadata/properties" xmlns:ns2="d91e6c71-115c-4ffd-832d-0cdb804ef50e" xmlns:ns3="96ac35d6-1358-4c48-9f11-c71e0bfd0537" targetNamespace="http://schemas.microsoft.com/office/2006/metadata/properties" ma:root="true" ma:fieldsID="41d98dc00d976cdde271f02408f8e68b" ns2:_="" ns3:_="">
    <xsd:import namespace="d91e6c71-115c-4ffd-832d-0cdb804ef50e"/>
    <xsd:import namespace="96ac35d6-1358-4c48-9f11-c71e0bfd053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1e6c71-115c-4ffd-832d-0cdb804ef5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eca75be5-6f7d-4371-9760-e19e7245c017"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c35d6-1358-4c48-9f11-c71e0bfd0537"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8eb37eb-6bc2-4324-a9b3-e06862a5a805}" ma:internalName="TaxCatchAll" ma:showField="CatchAllData" ma:web="96ac35d6-1358-4c48-9f11-c71e0bfd053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39D6BC-92EC-477E-B72C-526A44BA237B}">
  <ds:schemaRefs>
    <ds:schemaRef ds:uri="http://schemas.microsoft.com/office/2006/metadata/properties"/>
    <ds:schemaRef ds:uri="http://schemas.microsoft.com/office/infopath/2007/PartnerControls"/>
    <ds:schemaRef ds:uri="96ac35d6-1358-4c48-9f11-c71e0bfd0537"/>
    <ds:schemaRef ds:uri="d91e6c71-115c-4ffd-832d-0cdb804ef50e"/>
  </ds:schemaRefs>
</ds:datastoreItem>
</file>

<file path=customXml/itemProps2.xml><?xml version="1.0" encoding="utf-8"?>
<ds:datastoreItem xmlns:ds="http://schemas.openxmlformats.org/officeDocument/2006/customXml" ds:itemID="{8FD03B7F-F926-42CF-93C1-DD947B8AE3E6}">
  <ds:schemaRefs>
    <ds:schemaRef ds:uri="http://schemas.microsoft.com/sharepoint/v3/contenttype/forms"/>
  </ds:schemaRefs>
</ds:datastoreItem>
</file>

<file path=customXml/itemProps3.xml><?xml version="1.0" encoding="utf-8"?>
<ds:datastoreItem xmlns:ds="http://schemas.openxmlformats.org/officeDocument/2006/customXml" ds:itemID="{BEAAA45E-65AA-4FE1-906F-1FC5B07287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1e6c71-115c-4ffd-832d-0cdb804ef50e"/>
    <ds:schemaRef ds:uri="96ac35d6-1358-4c48-9f11-c71e0bfd05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Tableau FV</vt:lpstr>
      <vt:lpstr>Chiffrage</vt:lpstr>
      <vt:lpstr>Feuil4</vt:lpstr>
      <vt:lpstr>Feuil1 (4)</vt:lpstr>
      <vt:lpstr>Feuil1</vt:lpstr>
      <vt:lpstr>Feuil1 (2)</vt:lpstr>
      <vt:lpstr>Feuil2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Delphine Denis</dc:creator>
  <cp:lastModifiedBy>Julie POISSON</cp:lastModifiedBy>
  <dcterms:created xsi:type="dcterms:W3CDTF">2025-07-24T10:04:31Z</dcterms:created>
  <dcterms:modified xsi:type="dcterms:W3CDTF">2026-09-27T15:52:48Z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0x010100E6D11CEAB66C174CA9FB69B00939F2FF</vt:lpwstr>
  </property>
  <property fmtid="{D5CDD505-2E9C-101B-9397-08002B2CF9AE}" pid="3" name="MediaServiceImageTags">
    <vt:lpwstr/>
  </property>
</Properties>
</file>