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ssociationfb2.sharepoint.com/sites/fb2/Shared Documents/7 AMI 2024/4_Accompagnement/22 Kergrist-Moelou Ecole/3_Subventions/"/>
    </mc:Choice>
  </mc:AlternateContent>
  <xr:revisionPtr revIDLastSave="133" documentId="11_F14305618B49D67E9C4BF53D9E42C0DAC32AA685" xr6:coauthVersionLast="47" xr6:coauthVersionMax="47" xr10:uidLastSave="{34108F48-2CB5-4B2F-B419-C58C5F84C1BE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4" i="1"/>
  <c r="E11" i="1"/>
  <c r="E12" i="1"/>
  <c r="E9" i="1"/>
  <c r="I14" i="1"/>
  <c r="I17" i="1" s="1"/>
  <c r="I9" i="1"/>
  <c r="I11" i="1"/>
  <c r="I6" i="1" s="1"/>
  <c r="F14" i="1"/>
  <c r="G14" i="1"/>
  <c r="D14" i="1"/>
  <c r="F9" i="1"/>
  <c r="F12" i="1" s="1"/>
  <c r="D9" i="1"/>
  <c r="D12" i="1" s="1"/>
  <c r="D17" i="1" s="1"/>
  <c r="D19" i="1" s="1"/>
  <c r="D11" i="1"/>
  <c r="G6" i="1"/>
  <c r="F11" i="1"/>
  <c r="F17" i="1" l="1"/>
  <c r="F19" i="1" s="1"/>
  <c r="G11" i="1"/>
  <c r="G9" i="1"/>
  <c r="G12" i="1" s="1"/>
  <c r="G17" i="1" s="1"/>
  <c r="G19" i="1" s="1"/>
</calcChain>
</file>

<file path=xl/sharedStrings.xml><?xml version="1.0" encoding="utf-8"?>
<sst xmlns="http://schemas.openxmlformats.org/spreadsheetml/2006/main" count="22" uniqueCount="18">
  <si>
    <t>Concours</t>
  </si>
  <si>
    <t>APS</t>
  </si>
  <si>
    <t>APD</t>
  </si>
  <si>
    <t>PRO</t>
  </si>
  <si>
    <t>Etudes HT</t>
  </si>
  <si>
    <t>Etudes TTC</t>
  </si>
  <si>
    <t>Travaux HT</t>
  </si>
  <si>
    <t>Travaux TTC</t>
  </si>
  <si>
    <t>Total Projet HT</t>
  </si>
  <si>
    <t>Total projet TTC</t>
  </si>
  <si>
    <t>dont phase 1</t>
  </si>
  <si>
    <t>dont phase 2</t>
  </si>
  <si>
    <t>Subventions</t>
  </si>
  <si>
    <t>Autofinancement</t>
  </si>
  <si>
    <t>?</t>
  </si>
  <si>
    <t>Prévision nvelle équipe</t>
  </si>
  <si>
    <t>Reste à charge</t>
  </si>
  <si>
    <t>Esquisse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</si>
</sst>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2" fillId="0" borderId="0" xfId="0" applyFont="1"/>
    <xf numFmtId="0" fontId="3" fillId="0" borderId="0" xfId="0" applyFont="1" applyAlignment="1">
      <alignment horizontal="center"/>
    </xf>
    <xf numFmtId="43" fontId="2" fillId="0" borderId="0" xfId="1" applyFont="1"/>
    <xf numFmtId="0" fontId="4" fillId="0" borderId="0" xfId="0" applyFont="1"/>
    <xf numFmtId="43" fontId="5" fillId="0" borderId="0" xfId="1" applyFont="1"/>
    <xf numFmtId="169" fontId="0" fillId="0" borderId="0" xfId="0" applyNumberFormat="1"/>
    <xf numFmtId="43" fontId="2" fillId="0" borderId="0" xfId="1" applyFont="1" applyAlignment="1">
      <alignment horizontal="center"/>
    </xf>
    <xf numFmtId="43" fontId="5" fillId="0" borderId="0" xfId="1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19"/>
  <sheetViews>
    <sheetView tabSelected="1" workbookViewId="0">
      <selection activeCell="H17" sqref="H17"/>
    </sheetView>
  </sheetViews>
  <sheetFormatPr baseColWidth="10" defaultColWidth="8.88671875" defaultRowHeight="14.4" x14ac:dyDescent="0.3"/>
  <cols>
    <col min="3" max="3" width="20.109375" customWidth="1"/>
    <col min="4" max="5" width="14.33203125" customWidth="1"/>
    <col min="6" max="6" width="17.109375" customWidth="1"/>
    <col min="7" max="7" width="15.88671875" customWidth="1"/>
    <col min="8" max="8" width="16.77734375" customWidth="1"/>
    <col min="9" max="9" width="32.6640625" customWidth="1"/>
    <col min="11" max="11" width="12.6640625" bestFit="1" customWidth="1"/>
  </cols>
  <sheetData>
    <row r="3" spans="3:11" ht="18" x14ac:dyDescent="0.35">
      <c r="C3" s="2"/>
      <c r="D3" s="3" t="s">
        <v>0</v>
      </c>
      <c r="E3" s="3" t="s">
        <v>17</v>
      </c>
      <c r="F3" s="3" t="s">
        <v>1</v>
      </c>
      <c r="G3" s="3" t="s">
        <v>2</v>
      </c>
      <c r="H3" s="3" t="s">
        <v>3</v>
      </c>
      <c r="I3" s="3" t="s">
        <v>15</v>
      </c>
    </row>
    <row r="4" spans="3:11" ht="18" x14ac:dyDescent="0.35">
      <c r="C4" s="2" t="s">
        <v>4</v>
      </c>
      <c r="D4" s="4">
        <v>133532.58000000002</v>
      </c>
      <c r="E4" s="4">
        <v>133532.58000000002</v>
      </c>
      <c r="F4" s="4">
        <v>133532.58000000002</v>
      </c>
      <c r="G4" s="4">
        <v>133532.58000000002</v>
      </c>
      <c r="H4" s="4">
        <v>133532.58000000002</v>
      </c>
      <c r="I4" s="4">
        <v>133532.58000000002</v>
      </c>
    </row>
    <row r="5" spans="3:11" ht="18" x14ac:dyDescent="0.35">
      <c r="C5" s="2" t="s">
        <v>5</v>
      </c>
      <c r="D5" s="4">
        <v>160239.09600000002</v>
      </c>
      <c r="E5" s="4">
        <v>160239.09600000002</v>
      </c>
      <c r="F5" s="4">
        <v>160239.09600000002</v>
      </c>
      <c r="G5" s="4">
        <v>160239.09600000002</v>
      </c>
      <c r="H5" s="4">
        <v>160239.09600000002</v>
      </c>
      <c r="I5" s="4">
        <v>160239.09599999999</v>
      </c>
    </row>
    <row r="6" spans="3:11" ht="18" x14ac:dyDescent="0.35">
      <c r="C6" s="2" t="s">
        <v>6</v>
      </c>
      <c r="D6" s="4">
        <v>576500</v>
      </c>
      <c r="E6" s="4">
        <v>635000</v>
      </c>
      <c r="F6" s="4">
        <v>706500</v>
      </c>
      <c r="G6" s="4">
        <f>SUM(G7:G8)</f>
        <v>735488.96</v>
      </c>
      <c r="H6" s="8" t="s">
        <v>14</v>
      </c>
      <c r="I6" s="4">
        <f>I11-I4</f>
        <v>533134.08666666667</v>
      </c>
    </row>
    <row r="7" spans="3:11" ht="18" x14ac:dyDescent="0.35">
      <c r="C7" s="2" t="s">
        <v>10</v>
      </c>
      <c r="D7" s="4"/>
      <c r="E7" s="4"/>
      <c r="F7" s="4">
        <v>617500</v>
      </c>
      <c r="G7" s="4">
        <v>615278</v>
      </c>
      <c r="H7" s="8" t="s">
        <v>14</v>
      </c>
    </row>
    <row r="8" spans="3:11" ht="18" x14ac:dyDescent="0.35">
      <c r="C8" s="2" t="s">
        <v>11</v>
      </c>
      <c r="D8" s="4"/>
      <c r="E8" s="4"/>
      <c r="F8" s="4">
        <v>89000</v>
      </c>
      <c r="G8" s="4">
        <v>120210.96</v>
      </c>
      <c r="H8" s="8" t="s">
        <v>14</v>
      </c>
    </row>
    <row r="9" spans="3:11" ht="18" x14ac:dyDescent="0.35">
      <c r="C9" s="2" t="s">
        <v>7</v>
      </c>
      <c r="D9" s="4">
        <f>D6*1.2</f>
        <v>691800</v>
      </c>
      <c r="E9" s="4">
        <f>E6*1.2</f>
        <v>762000</v>
      </c>
      <c r="F9" s="4">
        <f t="shared" ref="F9:G9" si="0">F6*1.2</f>
        <v>847800</v>
      </c>
      <c r="G9" s="4">
        <f t="shared" si="0"/>
        <v>882586.75199999998</v>
      </c>
      <c r="H9" s="8" t="s">
        <v>14</v>
      </c>
      <c r="I9" s="4">
        <f>I12-I5</f>
        <v>639760.90399999998</v>
      </c>
    </row>
    <row r="10" spans="3:11" ht="18" x14ac:dyDescent="0.35">
      <c r="C10" s="2"/>
      <c r="D10" s="4"/>
      <c r="E10" s="4"/>
      <c r="F10" s="4"/>
      <c r="G10" s="4"/>
      <c r="H10" s="4"/>
    </row>
    <row r="11" spans="3:11" ht="18" x14ac:dyDescent="0.35">
      <c r="C11" s="5" t="s">
        <v>8</v>
      </c>
      <c r="D11" s="6">
        <f>D4+D6</f>
        <v>710032.58000000007</v>
      </c>
      <c r="E11" s="6">
        <f>E4+E6</f>
        <v>768532.58000000007</v>
      </c>
      <c r="F11" s="6">
        <f t="shared" ref="F11:G11" si="1">F4+F6</f>
        <v>840032.58000000007</v>
      </c>
      <c r="G11" s="6">
        <f t="shared" si="1"/>
        <v>869021.54</v>
      </c>
      <c r="H11" s="9" t="s">
        <v>14</v>
      </c>
      <c r="I11" s="6">
        <f>I12/1.2</f>
        <v>666666.66666666674</v>
      </c>
    </row>
    <row r="12" spans="3:11" ht="18" x14ac:dyDescent="0.35">
      <c r="C12" s="5" t="s">
        <v>9</v>
      </c>
      <c r="D12" s="6">
        <f>D5+D9</f>
        <v>852039.09600000002</v>
      </c>
      <c r="E12" s="6">
        <f>E5+E9</f>
        <v>922239.09600000002</v>
      </c>
      <c r="F12" s="6">
        <f t="shared" ref="F12:G12" si="2">F5+F9</f>
        <v>1008039.096</v>
      </c>
      <c r="G12" s="6">
        <f t="shared" si="2"/>
        <v>1042825.848</v>
      </c>
      <c r="H12" s="6"/>
      <c r="I12" s="6">
        <v>800000</v>
      </c>
      <c r="K12" s="7"/>
    </row>
    <row r="14" spans="3:11" x14ac:dyDescent="0.3">
      <c r="C14" t="s">
        <v>12</v>
      </c>
      <c r="D14" s="1">
        <f>160000+165000+40000</f>
        <v>365000</v>
      </c>
      <c r="E14" s="1">
        <f>160000+165000+40000</f>
        <v>365000</v>
      </c>
      <c r="F14" s="1">
        <f t="shared" ref="F14:H14" si="3">160000+165000+40000</f>
        <v>365000</v>
      </c>
      <c r="G14" s="1">
        <f t="shared" si="3"/>
        <v>365000</v>
      </c>
      <c r="H14" s="1"/>
      <c r="I14" s="1">
        <f>160000+165000+40000</f>
        <v>365000</v>
      </c>
    </row>
    <row r="15" spans="3:11" x14ac:dyDescent="0.3">
      <c r="C15" t="s">
        <v>13</v>
      </c>
      <c r="H15" s="1"/>
      <c r="I15" s="1"/>
    </row>
    <row r="17" spans="3:9" x14ac:dyDescent="0.3">
      <c r="C17" t="s">
        <v>16</v>
      </c>
      <c r="D17" s="7">
        <f>D12-D14</f>
        <v>487039.09600000002</v>
      </c>
      <c r="E17" s="7">
        <f>E12-E14</f>
        <v>557239.09600000002</v>
      </c>
      <c r="F17" s="7">
        <f>F12-F14</f>
        <v>643039.09600000002</v>
      </c>
      <c r="G17" s="7">
        <f>G12-G14</f>
        <v>677825.848</v>
      </c>
      <c r="I17" s="7">
        <f>I12-I14</f>
        <v>435000</v>
      </c>
    </row>
    <row r="19" spans="3:9" x14ac:dyDescent="0.3">
      <c r="C19" s="1">
        <v>91000</v>
      </c>
      <c r="D19" s="7">
        <f>D17-C19</f>
        <v>396039.09600000002</v>
      </c>
      <c r="E19" s="7"/>
      <c r="F19" s="7">
        <f>F17-C19</f>
        <v>552039.09600000002</v>
      </c>
      <c r="G19" s="7">
        <f>G17-C19</f>
        <v>586825.848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ac35d6-1358-4c48-9f11-c71e0bfd0537" xsi:nil="true"/>
    <lcf76f155ced4ddcb4097134ff3c332f xmlns="d91e6c71-115c-4ffd-832d-0cdb804ef5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D11CEAB66C174CA9FB69B00939F2FF" ma:contentTypeVersion="16" ma:contentTypeDescription="Crée un document." ma:contentTypeScope="" ma:versionID="5b3927bb7eb34219114249121c58358f">
  <xsd:schema xmlns:xsd="http://www.w3.org/2001/XMLSchema" xmlns:xs="http://www.w3.org/2001/XMLSchema" xmlns:p="http://schemas.microsoft.com/office/2006/metadata/properties" xmlns:ns2="d91e6c71-115c-4ffd-832d-0cdb804ef50e" xmlns:ns3="96ac35d6-1358-4c48-9f11-c71e0bfd0537" targetNamespace="http://schemas.microsoft.com/office/2006/metadata/properties" ma:root="true" ma:fieldsID="41d98dc00d976cdde271f02408f8e68b" ns2:_="" ns3:_="">
    <xsd:import namespace="d91e6c71-115c-4ffd-832d-0cdb804ef50e"/>
    <xsd:import namespace="96ac35d6-1358-4c48-9f11-c71e0bfd05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e6c71-115c-4ffd-832d-0cdb804ef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ca75be5-6f7d-4371-9760-e19e7245c0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c35d6-1358-4c48-9f11-c71e0bfd053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8eb37eb-6bc2-4324-a9b3-e06862a5a805}" ma:internalName="TaxCatchAll" ma:showField="CatchAllData" ma:web="96ac35d6-1358-4c48-9f11-c71e0bfd05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616A1A-390C-46E9-9E06-B148933730B0}">
  <ds:schemaRefs>
    <ds:schemaRef ds:uri="http://schemas.microsoft.com/office/2006/metadata/properties"/>
    <ds:schemaRef ds:uri="http://schemas.microsoft.com/office/infopath/2007/PartnerControls"/>
    <ds:schemaRef ds:uri="96ac35d6-1358-4c48-9f11-c71e0bfd0537"/>
    <ds:schemaRef ds:uri="d91e6c71-115c-4ffd-832d-0cdb804ef50e"/>
  </ds:schemaRefs>
</ds:datastoreItem>
</file>

<file path=customXml/itemProps2.xml><?xml version="1.0" encoding="utf-8"?>
<ds:datastoreItem xmlns:ds="http://schemas.openxmlformats.org/officeDocument/2006/customXml" ds:itemID="{929942E3-53F5-481B-B986-4BB3BEFB7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1634C8-6CAE-460A-98E9-D7C50A37ED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1e6c71-115c-4ffd-832d-0cdb804ef50e"/>
    <ds:schemaRef ds:uri="96ac35d6-1358-4c48-9f11-c71e0bfd05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Poisson</dc:creator>
  <cp:lastModifiedBy>Julie POISSON</cp:lastModifiedBy>
  <dcterms:created xsi:type="dcterms:W3CDTF">2015-06-05T18:19:34Z</dcterms:created>
  <dcterms:modified xsi:type="dcterms:W3CDTF">2026-09-27T16:21:18Z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0x010100E6D11CEAB66C174CA9FB69B00939F2FF</vt:lpwstr>
  </property>
  <property fmtid="{D5CDD505-2E9C-101B-9397-08002B2CF9AE}" pid="3" name="MediaServiceImageTags">
    <vt:lpwstr/>
  </property>
</Properties>
</file>